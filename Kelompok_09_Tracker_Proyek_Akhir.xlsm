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8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8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Petunjuk" sheetId="1" r:id="rId4"/>
    <sheet state="visible" name="Checkpoint" sheetId="2" r:id="rId5"/>
    <sheet state="visible" name="Rubrik UTS" sheetId="3" r:id="rId6"/>
    <sheet state="visible" name="Rubrik UAS" sheetId="4" r:id="rId7"/>
    <sheet state="visible" name="Log_Krisantus" sheetId="5" r:id="rId8"/>
    <sheet state="visible" name="Log_Linardi" sheetId="6" r:id="rId9"/>
    <sheet state="visible" name="Log_Kristofer" sheetId="7" r:id="rId10"/>
    <sheet state="visible" name="Log_Leonard" sheetId="8" r:id="rId11"/>
  </sheets>
  <definedNames/>
  <calcPr/>
  <extLst>
    <ext uri="GoogleSheetsCustomDataVersion2">
      <go:sheetsCustomData xmlns:go="http://customooxmlschemas.google.com/" r:id="rId12" roundtripDataChecksum="j5hBn0TdeIkd0lLGvxgrCPjuxwOrHU8ehehcI3I+DFM="/>
    </ext>
  </extLst>
</workbook>
</file>

<file path=xl/sharedStrings.xml><?xml version="1.0" encoding="utf-8"?>
<sst xmlns="http://schemas.openxmlformats.org/spreadsheetml/2006/main" count="338" uniqueCount="188">
  <si>
    <t>Checkpoint Kelompok 09</t>
  </si>
  <si>
    <t>Tracker Proyek Akhir - Kelompok 09</t>
  </si>
  <si>
    <t>Rubrik UTS - Kelompok 09</t>
  </si>
  <si>
    <t>Rubrik UAS - Kelompok 09</t>
  </si>
  <si>
    <t>Isi nilai 0-100 pada sel kuning. Nilai akhir menggabungkan komponen kelompok dan pemahaman individual.</t>
  </si>
  <si>
    <t>IF0PP006 Visi Komputer - UTS proposal, checkpoint mingguan, logbook individual, dan UAS</t>
  </si>
  <si>
    <t>Anggota: Krisantus, Linardi, Kristofer, Leonard</t>
  </si>
  <si>
    <t>Total XP</t>
  </si>
  <si>
    <t>Kriteria kelompok</t>
  </si>
  <si>
    <t>Kelompok</t>
  </si>
  <si>
    <t>Bobot</t>
  </si>
  <si>
    <t>Nilai (0-100)</t>
  </si>
  <si>
    <t>Nilai berbobot</t>
  </si>
  <si>
    <t>Bukti yang diperiksa dan catatan</t>
  </si>
  <si>
    <t>Anggota</t>
  </si>
  <si>
    <t>Pemahaman masalah dan latar belakang</t>
  </si>
  <si>
    <t>Strategi dan kualitas data</t>
  </si>
  <si>
    <t>Krisantus; Linardi; Kristofer; Leonard</t>
  </si>
  <si>
    <t>Folder utama</t>
  </si>
  <si>
    <t>https://drive.google.com/drive/folders/1CrBBbuZJlEPmSUQD7QYNkntH8IpBkt5D?usp=sharing</t>
  </si>
  <si>
    <t>Folder kelompok</t>
  </si>
  <si>
    <t>Tempel tautan folder kelompok di sini</t>
  </si>
  <si>
    <t>Tingkat progres</t>
  </si>
  <si>
    <t>Judul proyek</t>
  </si>
  <si>
    <t>Diisi setelah CP01</t>
  </si>
  <si>
    <t>Ketua/koordinator</t>
  </si>
  <si>
    <t>Pilih sesuai kesepakatan kelompok</t>
  </si>
  <si>
    <t>Kanal komunikasi</t>
  </si>
  <si>
    <t>Diisi kelompok</t>
  </si>
  <si>
    <t>Masalah spesifik, konteks, dampak, alasan memakai CV, dan batas klaim</t>
  </si>
  <si>
    <t>Cara memakai workbook</t>
  </si>
  <si>
    <t>Audit data, split, pra-pemrosesan, augmentasi, bias, leakage, dan reproduktibilitas</t>
  </si>
  <si>
    <t>Dataset dan kelayakan data</t>
  </si>
  <si>
    <t>Baseline dan validitas eksperimen</t>
  </si>
  <si>
    <t>Kelompok memperbarui tab Checkpoint sebelum pemeriksaan mingguan.</t>
  </si>
  <si>
    <t>Setiap anggota mengisi tab Log miliknya sendiri dan menambahkan tautan bukti.</t>
  </si>
  <si>
    <t>Sumber, lisensi, contoh, ukuran, label, pembagian data, bias, dan leakage</t>
  </si>
  <si>
    <t>Baseline berjalan, perbandingan adil, seed, dan konfigurasi tercatat</t>
  </si>
  <si>
    <t>Tujuan, ruang lingkup, dan ukuran sukses</t>
  </si>
  <si>
    <t>Metode dan keputusan arsitektur</t>
  </si>
  <si>
    <t>Dosen atau asisten memeriksa bukti lalu mengisi status verifikasi dan umpan balik.</t>
  </si>
  <si>
    <t>ID</t>
  </si>
  <si>
    <t>Tujuan terukur, ruang lingkup satu semester, dan kriteria keberhasilan</t>
  </si>
  <si>
    <t>Kesesuaian model, fine-tuning, loss, hyperparameter, dan alasan perubahan</t>
  </si>
  <si>
    <t>Rujukan dan justifikasi</t>
  </si>
  <si>
    <t>Metrik, hasil, dan analisis kesalahan</t>
  </si>
  <si>
    <t>Fase</t>
  </si>
  <si>
    <t>XP bertambah hanya ketika checkpoint dinyatakan Terverifikasi.</t>
  </si>
  <si>
    <t>Minggu</t>
  </si>
  <si>
    <t>Sedikitnya 5 sumber kredibel, termasuk 2 paper metode atau dataset</t>
  </si>
  <si>
    <t>Rubrik terkait</t>
  </si>
  <si>
    <t>Metrik sesuai tugas, tabel, visual, kasus gagal, dan batas klaim</t>
  </si>
  <si>
    <t>Baseline dan metodologi</t>
  </si>
  <si>
    <t>Capaian</t>
  </si>
  <si>
    <t>Iterasi atau eksperimen terkontrol</t>
  </si>
  <si>
    <t>Bukti minimum</t>
  </si>
  <si>
    <t>XP</t>
  </si>
  <si>
    <t>Penanggung jawab</t>
  </si>
  <si>
    <t>Status kelompok</t>
  </si>
  <si>
    <t>Baseline, arsitektur, input-output, pra-pemrosesan, loss, dan strategi pelatihan</t>
  </si>
  <si>
    <t>Tanggal pengajuan</t>
  </si>
  <si>
    <t>Link bukti</t>
  </si>
  <si>
    <t>Rencana evaluasi dan eksperimen</t>
  </si>
  <si>
    <t>Nilai UTS dan UAS dihitung pada tab rubrik. Nilai logbook dihitung per anggota.</t>
  </si>
  <si>
    <t>Catatan kelompok</t>
  </si>
  <si>
    <t>Sedikitnya satu perubahan yang diuji dengan kontrol dan kesimpulan berbasis hasil</t>
  </si>
  <si>
    <t>Verifikasi dosen/asisten</t>
  </si>
  <si>
    <t>Tanggal verifikasi</t>
  </si>
  <si>
    <t>Demo, inferensi, atau deployment</t>
  </si>
  <si>
    <t>XP terverifikasi</t>
  </si>
  <si>
    <t>Metrik, split, perbandingan adil, dan analisis kesalahan yang direncanakan</t>
  </si>
  <si>
    <t>Kelayakan, risiko, dan pembagian kerja</t>
  </si>
  <si>
    <t>Umpan balik</t>
  </si>
  <si>
    <t>CP00</t>
  </si>
  <si>
    <t>Input baru, output benar, stabilitas, latency atau FPS, dan fallback teknis</t>
  </si>
  <si>
    <t>Kode dan reproduktibilitas</t>
  </si>
  <si>
    <t>Pra-UTS</t>
  </si>
  <si>
    <t>Skala logbook mingguan</t>
  </si>
  <si>
    <t>Kerja tim</t>
  </si>
  <si>
    <t>Bukti kelayakan, komputasi, risiko, alternatif, dan peran anggota</t>
  </si>
  <si>
    <t>README, dependensi, struktur, konfigurasi, cara menjalankan, dan atribusi sumber</t>
  </si>
  <si>
    <t>Kontrak kerja dan peran awal</t>
  </si>
  <si>
    <t>Kualitas proposal dan presentasi</t>
  </si>
  <si>
    <t>Laporan dan presentasi</t>
  </si>
  <si>
    <t>Nama anggota, kanal komunikasi, peran awal, aturan rapat, dan penyelesaian konflik</t>
  </si>
  <si>
    <t>Skor</t>
  </si>
  <si>
    <t>Struktur, visual, konsistensi, dan kepatuhan format</t>
  </si>
  <si>
    <t>Makna</t>
  </si>
  <si>
    <t>Komponen kelompok (maks. 85)</t>
  </si>
  <si>
    <t>Kepatuhan template, kejelasan tabel dan gambar, struktur argumen, dan waktu</t>
  </si>
  <si>
    <t>Syarat minimum</t>
  </si>
  <si>
    <t>Komponen kelompok (maks. 90)</t>
  </si>
  <si>
    <t>Selesai</t>
  </si>
  <si>
    <t>Kuat</t>
  </si>
  <si>
    <t>Spesifik, bukti valid, ada hasil atau refleksi, dan rencana lanjut</t>
  </si>
  <si>
    <t>Belum diperiksa</t>
  </si>
  <si>
    <t>Memadai</t>
  </si>
  <si>
    <t>Pekerjaan dan bukti jelas, tetapi satu unsur masih kurang</t>
  </si>
  <si>
    <t>Parsial</t>
  </si>
  <si>
    <t>Kontribusi atau bukti belum cukup kuat</t>
  </si>
  <si>
    <t>Sangat umum</t>
  </si>
  <si>
    <t>CP01</t>
  </si>
  <si>
    <t>Catatan minim dan sulit menunjukkan hasil kerja</t>
  </si>
  <si>
    <t>Tidak terbukti</t>
  </si>
  <si>
    <t>Nilai pemahaman</t>
  </si>
  <si>
    <t>Masalah</t>
  </si>
  <si>
    <t>Bobot individual</t>
  </si>
  <si>
    <t>Tiga kandidat topik dan keputusan</t>
  </si>
  <si>
    <t>Nilai akhir UTS</t>
  </si>
  <si>
    <t>Kosong atau bukti tidak dapat diperiksa</t>
  </si>
  <si>
    <t>Matriks masalah, data, baseline, metrik, komputasi, dan risiko</t>
  </si>
  <si>
    <t>Nilai akhir UAS</t>
  </si>
  <si>
    <t>Catatan tanya jawab</t>
  </si>
  <si>
    <t>KRISANTUS AMKA GINTING</t>
  </si>
  <si>
    <t>Catatan: durasi kerja boleh dicatat untuk refleksi, tetapi jumlah jam tidak otomatis menaikkan nilai.</t>
  </si>
  <si>
    <t>CP02</t>
  </si>
  <si>
    <t>Masalah dan rujukan</t>
  </si>
  <si>
    <t>Rumusan masalah dan rujukan awal</t>
  </si>
  <si>
    <t>Problem statement, pengguna atau konteks, 5 rujukan, dan ringkasan relevansi</t>
  </si>
  <si>
    <t>CP03</t>
  </si>
  <si>
    <t>Strategi data</t>
  </si>
  <si>
    <t>Audit dataset</t>
  </si>
  <si>
    <t>Sumber dan lisensi, statistik awal, contoh, label, bias, leakage, dan rencana split</t>
  </si>
  <si>
    <t>LINARDI HALIM</t>
  </si>
  <si>
    <t>CP04</t>
  </si>
  <si>
    <t>Baseline dan evaluasi</t>
  </si>
  <si>
    <t>Baseline dan ukuran sukses</t>
  </si>
  <si>
    <t>Baseline dipilih, metrik ditetapkan, target keberhasilan, dan alasan</t>
  </si>
  <si>
    <t>KRISTOFER RYAN GIGGS EKA SAPUTRA</t>
  </si>
  <si>
    <t>CP05</t>
  </si>
  <si>
    <t>LEONARD FRANSCOIS</t>
  </si>
  <si>
    <t>Metodologi</t>
  </si>
  <si>
    <t>Desain metode dan eksperimen</t>
  </si>
  <si>
    <t>Diagram pipeline, konfigurasi inti, kontrol perbandingan, dan kebutuhan komputasi</t>
  </si>
  <si>
    <t>CP06</t>
  </si>
  <si>
    <t>Proposal</t>
  </si>
  <si>
    <t>Bukti kelayakan dan proposal beku</t>
  </si>
  <si>
    <t>Data terbaca atau inferensi awal berjalan, draf final, slide, dan pembagian presentasi</t>
  </si>
  <si>
    <t>CP07</t>
  </si>
  <si>
    <t>Pasca-UTS</t>
  </si>
  <si>
    <t>Data dan dokumentasi</t>
  </si>
  <si>
    <t>Repository dan pipeline data</t>
  </si>
  <si>
    <t>Struktur repo, README awal, loader, split tetap, seed, dan data sanity check</t>
  </si>
  <si>
    <t>Belum dimulai</t>
  </si>
  <si>
    <t>Interpretasi skor: 90-100 sangat kuat; 75-89 memadai; 60-74 parsial; di bawah 60 belum terbukti. Gunakan catatan untuk menjelaskan dasar skor.</t>
  </si>
  <si>
    <t>CP08</t>
  </si>
  <si>
    <t>Baseline</t>
  </si>
  <si>
    <t>Baseline berjalan</t>
  </si>
  <si>
    <t>Konfigurasi, log, metrik validasi, contoh prediksi, dan waktu inferensi awal</t>
  </si>
  <si>
    <t>CP09</t>
  </si>
  <si>
    <t>Metode</t>
  </si>
  <si>
    <t>Metode utama versi 1</t>
  </si>
  <si>
    <t>Training atau inference selesai, konfigurasi tersimpan, dan perbandingan awal</t>
  </si>
  <si>
    <t>CP10</t>
  </si>
  <si>
    <t>Evaluasi</t>
  </si>
  <si>
    <t>Evaluasi terkontrol</t>
  </si>
  <si>
    <t>Tabel hasil pada split sama, metrik sesuai tugas, dan catatan perubahan satu per satu</t>
  </si>
  <si>
    <t>CP11</t>
  </si>
  <si>
    <t>Analisis hasil</t>
  </si>
  <si>
    <t>Analisis kesalahan dan iterasi</t>
  </si>
  <si>
    <t>Kategori kegagalan, contoh kasus, hipotesis, dan satu perbaikan yang diuji</t>
  </si>
  <si>
    <t>CP12</t>
  </si>
  <si>
    <t>Demo dan deployment</t>
  </si>
  <si>
    <t>Demo atau deployment versi 1</t>
  </si>
  <si>
    <t>Input baru menghasilkan output, latency atau FPS dicatat, dan tersedia fallback demo</t>
  </si>
  <si>
    <t>CP13</t>
  </si>
  <si>
    <t>Laporan dan reproduktibilitas</t>
  </si>
  <si>
    <t>Freeze artefak dan laporan</t>
  </si>
  <si>
    <t>Kode dapat dijalankan, README final, tabel hasil beku, laporan, slide, dan video cadangan</t>
  </si>
  <si>
    <t>Logbook Individual - Krisantus</t>
  </si>
  <si>
    <t>Logbook Individual - Linardi</t>
  </si>
  <si>
    <t>Kelompok 09 - KRISANTUS AMKA GINTING (412024025)</t>
  </si>
  <si>
    <t>Kelompok 09 - LINARDI HALIM (212024005)</t>
  </si>
  <si>
    <t>Nilai logbook</t>
  </si>
  <si>
    <t>Logbook Individual - Kristofer</t>
  </si>
  <si>
    <t>Diisi setiap minggu. Satu baris harus menjelaskan pekerjaan nyata, hasil atau keputusan, bukti, kendala, dan langkah berikutnya.</t>
  </si>
  <si>
    <t>Kelompok 09 - KRISTOFER RYAN GIGGS EKA SAPUTRA (412024005)</t>
  </si>
  <si>
    <t>Tanggal</t>
  </si>
  <si>
    <t>Target</t>
  </si>
  <si>
    <t>Kegiatan yang benar-benar dilakukan</t>
  </si>
  <si>
    <t>Keputusan atau hasil belajar</t>
  </si>
  <si>
    <t>Kendala</t>
  </si>
  <si>
    <t>Rencana berikutnya</t>
  </si>
  <si>
    <t>Durasi (jam)</t>
  </si>
  <si>
    <t>Status verifikasi</t>
  </si>
  <si>
    <t>Skor (0-4)</t>
  </si>
  <si>
    <t>Logbook Individual - Leonard</t>
  </si>
  <si>
    <t>Kelompok 09 - LEONARD FRANSCOIS (412024035)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</si>
</sst>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2">
    <numFmt numFmtId="164" formatCode="0.0"/>
    <numFmt numFmtId="165" formatCode="yyyy-mm-dd"/>
  </numFmts>
  <fonts count="8">
    <font>
      <sz val="11.0"/>
      <color rgb="FF000000"/>
      <name val="Carlito"/>
      <scheme val="minor"/>
    </font>
    <font>
      <b/>
      <sz val="17.0"/>
      <color rgb="FF0B1F33"/>
      <name val="Arial"/>
    </font>
    <font>
      <sz val="10.0"/>
      <color rgb="FF1E293B"/>
      <name val="Arial"/>
    </font>
    <font>
      <i/>
      <sz val="9.0"/>
      <color rgb="FF64748B"/>
      <name val="Arial"/>
    </font>
    <font>
      <b/>
      <sz val="10.0"/>
      <color rgb="FF0B1F33"/>
      <name val="Arial"/>
    </font>
    <font>
      <b/>
      <sz val="9.0"/>
      <color rgb="FFFFFFFF"/>
      <name val="Arial"/>
    </font>
    <font>
      <b/>
      <sz val="12.0"/>
      <color rgb="FF1C5D99"/>
      <name val="Arial"/>
    </font>
    <font>
      <i/>
      <sz val="9.0"/>
      <color rgb="FF1E293B"/>
      <name val="Arial"/>
    </font>
  </fonts>
  <fills count="8">
    <fill>
      <patternFill patternType="none"/>
    </fill>
    <fill>
      <patternFill patternType="lightGray"/>
    </fill>
    <fill>
      <patternFill patternType="solid">
        <fgColor rgb="FFE8F4F3"/>
        <bgColor rgb="FFE8F4F3"/>
      </patternFill>
    </fill>
    <fill>
      <patternFill patternType="solid">
        <fgColor rgb="FF0B1F33"/>
        <bgColor rgb="FF0B1F33"/>
      </patternFill>
    </fill>
    <fill>
      <patternFill patternType="solid">
        <fgColor rgb="FFFFF2CC"/>
        <bgColor rgb="FFFFF2CC"/>
      </patternFill>
    </fill>
    <fill>
      <patternFill patternType="solid">
        <fgColor rgb="FFDDEBF7"/>
        <bgColor rgb="FFDDEBF7"/>
      </patternFill>
    </fill>
    <fill>
      <patternFill patternType="solid">
        <fgColor rgb="FFF8FAFC"/>
        <bgColor rgb="FFF8FAFC"/>
      </patternFill>
    </fill>
    <fill>
      <patternFill patternType="solid">
        <fgColor rgb="FFFFF4D6"/>
        <bgColor rgb="FFFFF4D6"/>
      </patternFill>
    </fill>
  </fills>
  <borders count="10">
    <border/>
    <border>
      <bottom style="medium">
        <color rgb="FF1C5D99"/>
      </bottom>
    </border>
    <border>
      <left style="thin">
        <color rgb="FFCBD5E1"/>
      </left>
      <top style="thin">
        <color rgb="FFCBD5E1"/>
      </top>
    </border>
    <border>
      <right style="thin">
        <color rgb="FFCBD5E1"/>
      </right>
      <top style="thin">
        <color rgb="FFCBD5E1"/>
      </top>
    </border>
    <border>
      <top style="thin">
        <color rgb="FFCBD5E1"/>
      </top>
    </border>
    <border>
      <left style="thin">
        <color rgb="FFCBD5E1"/>
      </left>
    </border>
    <border>
      <right style="thin">
        <color rgb="FFCBD5E1"/>
      </right>
    </border>
    <border>
      <left style="thin">
        <color rgb="FFCBD5E1"/>
      </left>
      <bottom style="thin">
        <color rgb="FFCBD5E1"/>
      </bottom>
    </border>
    <border>
      <right style="thin">
        <color rgb="FFCBD5E1"/>
      </right>
      <bottom style="thin">
        <color rgb="FFCBD5E1"/>
      </bottom>
    </border>
    <border>
      <bottom style="thin">
        <color rgb="FFCBD5E1"/>
      </bottom>
    </border>
  </borders>
  <cellStyleXfs count="1">
    <xf borderId="0" fillId="0" fontId="0" numFmtId="0" applyAlignment="1" applyFont="1"/>
  </cellStyleXfs>
  <cellXfs count="76">
    <xf borderId="0" fillId="0" fontId="0" numFmtId="0" xfId="0" applyAlignment="1" applyFont="1">
      <alignment readingOrder="0" shrinkToFit="0" vertical="bottom" wrapText="0"/>
    </xf>
    <xf borderId="1" fillId="0" fontId="1" numFmtId="0" xfId="0" applyAlignment="1" applyBorder="1" applyFont="1">
      <alignment vertical="top"/>
    </xf>
    <xf borderId="1" fillId="0" fontId="2" numFmtId="0" xfId="0" applyAlignment="1" applyBorder="1" applyFont="1">
      <alignment vertical="top"/>
    </xf>
    <xf borderId="0" fillId="0" fontId="3" numFmtId="0" xfId="0" applyAlignment="1" applyFont="1">
      <alignment shrinkToFit="0" vertical="top" wrapText="1"/>
    </xf>
    <xf borderId="0" fillId="0" fontId="2" numFmtId="0" xfId="0" applyAlignment="1" applyFont="1">
      <alignment vertical="top"/>
    </xf>
    <xf borderId="2" fillId="0" fontId="4" numFmtId="0" xfId="0" applyAlignment="1" applyBorder="1" applyFont="1">
      <alignment vertical="top"/>
    </xf>
    <xf borderId="0" fillId="2" fontId="4" numFmtId="0" xfId="0" applyAlignment="1" applyFill="1" applyFont="1">
      <alignment vertical="top"/>
    </xf>
    <xf borderId="2" fillId="3" fontId="5" numFmtId="0" xfId="0" applyAlignment="1" applyBorder="1" applyFill="1" applyFont="1">
      <alignment horizontal="center" shrinkToFit="0" vertical="center" wrapText="1"/>
    </xf>
    <xf borderId="4" fillId="3" fontId="5" numFmtId="0" xfId="0" applyAlignment="1" applyBorder="1" applyFill="1" applyFont="1">
      <alignment horizontal="center" shrinkToFit="0" vertical="center" wrapText="1"/>
    </xf>
    <xf borderId="3" fillId="0" fontId="2" numFmtId="0" xfId="0" applyAlignment="1" applyBorder="1" applyFont="1">
      <alignment shrinkToFit="0" vertical="top" wrapText="1"/>
    </xf>
    <xf borderId="3" fillId="3" fontId="5" numFmtId="0" xfId="0" applyAlignment="1" applyBorder="1" applyFill="1" applyFont="1">
      <alignment horizontal="center" shrinkToFit="0" vertical="center" wrapText="1"/>
    </xf>
    <xf borderId="5" fillId="0" fontId="4" numFmtId="0" xfId="0" applyAlignment="1" applyBorder="1" applyFont="1">
      <alignment vertical="top"/>
    </xf>
    <xf borderId="5" fillId="0" fontId="2" numFmtId="0" xfId="0" applyAlignment="1" applyBorder="1" applyFont="1">
      <alignment shrinkToFit="0" vertical="top" wrapText="1"/>
    </xf>
    <xf borderId="6" fillId="0" fontId="2" numFmtId="0" xfId="0" applyAlignment="1" applyBorder="1" applyFont="1">
      <alignment shrinkToFit="0" vertical="top" wrapText="1"/>
    </xf>
    <xf borderId="0" fillId="0" fontId="2" numFmtId="9" xfId="0" applyAlignment="1" applyFont="1" applyNumberFormat="1">
      <alignment shrinkToFit="0" vertical="top" wrapText="1"/>
    </xf>
    <xf borderId="0" fillId="2" fontId="4" numFmtId="1" xfId="0" applyAlignment="1" applyFill="1" applyFont="1" applyNumberFormat="1">
      <alignment vertical="top"/>
    </xf>
    <xf borderId="6" fillId="4" fontId="2" numFmtId="0" xfId="0" applyAlignment="1" applyBorder="1" applyFill="1" applyFont="1">
      <alignment shrinkToFit="0" vertical="top" wrapText="1"/>
    </xf>
    <xf borderId="0" fillId="4" fontId="2" numFmtId="164" xfId="0" applyAlignment="1" applyFill="1" applyFont="1" applyNumberFormat="1">
      <alignment shrinkToFit="0" vertical="top" wrapText="1"/>
    </xf>
    <xf borderId="7" fillId="0" fontId="4" numFmtId="0" xfId="0" applyAlignment="1" applyBorder="1" applyFont="1">
      <alignment vertical="top"/>
    </xf>
    <xf borderId="8" fillId="4" fontId="2" numFmtId="0" xfId="0" applyAlignment="1" applyBorder="1" applyFill="1" applyFont="1">
      <alignment shrinkToFit="0" vertical="top" wrapText="1"/>
    </xf>
    <xf borderId="0" fillId="0" fontId="2" numFmtId="164" xfId="0" applyAlignment="1" applyFont="1" applyNumberFormat="1">
      <alignment shrinkToFit="0" vertical="top" wrapText="1"/>
    </xf>
    <xf borderId="0" fillId="0" fontId="6" numFmtId="0" xfId="0" applyAlignment="1" applyFont="1">
      <alignment vertical="top"/>
    </xf>
    <xf borderId="6" fillId="5" fontId="2" numFmtId="0" xfId="0" applyAlignment="1" applyBorder="1" applyFill="1" applyFont="1">
      <alignment shrinkToFit="0" vertical="top" wrapText="1"/>
    </xf>
    <xf borderId="2" fillId="0" fontId="2" numFmtId="0" xfId="0" applyAlignment="1" applyBorder="1" applyFont="1">
      <alignment horizontal="center" vertical="top"/>
    </xf>
    <xf borderId="5" fillId="6" fontId="2" numFmtId="0" xfId="0" applyAlignment="1" applyBorder="1" applyFill="1" applyFont="1">
      <alignment shrinkToFit="0" vertical="top" wrapText="1"/>
    </xf>
    <xf borderId="0" fillId="6" fontId="2" numFmtId="9" xfId="0" applyAlignment="1" applyFill="1" applyFont="1" applyNumberFormat="1">
      <alignment shrinkToFit="0" vertical="top" wrapText="1"/>
    </xf>
    <xf borderId="5" fillId="6" fontId="2" numFmtId="0" xfId="0" applyAlignment="1" applyBorder="1" applyFill="1" applyFont="1">
      <alignment horizontal="center" vertical="top"/>
    </xf>
    <xf borderId="0" fillId="6" fontId="2" numFmtId="164" xfId="0" applyAlignment="1" applyFill="1" applyFont="1" applyNumberFormat="1">
      <alignment shrinkToFit="0" vertical="top" wrapText="1"/>
    </xf>
    <xf borderId="6" fillId="6" fontId="2" numFmtId="0" xfId="0" applyAlignment="1" applyBorder="1" applyFill="1" applyFont="1">
      <alignment shrinkToFit="0" vertical="top" wrapText="1"/>
    </xf>
    <xf borderId="5" fillId="0" fontId="2" numFmtId="0" xfId="0" applyAlignment="1" applyBorder="1" applyFont="1">
      <alignment horizontal="center" vertical="top"/>
    </xf>
    <xf borderId="7" fillId="0" fontId="2" numFmtId="0" xfId="0" applyAlignment="1" applyBorder="1" applyFont="1">
      <alignment horizontal="center" vertical="top"/>
    </xf>
    <xf borderId="8" fillId="0" fontId="2" numFmtId="0" xfId="0" applyAlignment="1" applyBorder="1" applyFont="1">
      <alignment shrinkToFit="0" vertical="top" wrapText="1"/>
    </xf>
    <xf borderId="5" fillId="0" fontId="2" numFmtId="0" xfId="0" applyAlignment="1" applyBorder="1" applyFont="1">
      <alignment shrinkToFit="0" vertical="center" wrapText="1"/>
    </xf>
    <xf borderId="0" fillId="0" fontId="2" numFmtId="0" xfId="0" applyAlignment="1" applyFont="1">
      <alignment shrinkToFit="0" vertical="center" wrapText="1"/>
    </xf>
    <xf borderId="0" fillId="0" fontId="2" numFmtId="0" xfId="0" applyAlignment="1" applyFont="1">
      <alignment shrinkToFit="0" vertical="top" wrapText="1"/>
    </xf>
    <xf borderId="0" fillId="0" fontId="2" numFmtId="0" xfId="0" applyAlignment="1" applyFont="1">
      <alignment horizontal="center" shrinkToFit="0" vertical="top" wrapText="1"/>
    </xf>
    <xf borderId="0" fillId="4" fontId="2" numFmtId="0" xfId="0" applyAlignment="1" applyFill="1" applyFont="1">
      <alignment shrinkToFit="0" vertical="top" wrapText="1"/>
    </xf>
    <xf borderId="7" fillId="2" fontId="4" numFmtId="0" xfId="0" applyAlignment="1" applyBorder="1" applyFill="1" applyFont="1">
      <alignment vertical="top"/>
    </xf>
    <xf borderId="0" fillId="4" fontId="2" numFmtId="0" xfId="0" applyAlignment="1" applyFill="1" applyFont="1">
      <alignment readingOrder="0" shrinkToFit="0" vertical="top" wrapText="1"/>
    </xf>
    <xf borderId="5" fillId="0" fontId="2" numFmtId="0" xfId="0" applyAlignment="1" applyBorder="1" applyFont="1">
      <alignment horizontal="center" shrinkToFit="0" vertical="top" wrapText="1"/>
    </xf>
    <xf borderId="9" fillId="2" fontId="4" numFmtId="0" xfId="0" applyAlignment="1" applyBorder="1" applyFill="1" applyFont="1">
      <alignment vertical="top"/>
    </xf>
    <xf borderId="0" fillId="4" fontId="2" numFmtId="165" xfId="0" applyAlignment="1" applyFill="1" applyFont="1" applyNumberFormat="1">
      <alignment shrinkToFit="0" vertical="top" wrapText="1"/>
    </xf>
    <xf borderId="0" fillId="5" fontId="2" numFmtId="0" xfId="0" applyAlignment="1" applyFill="1" applyFont="1">
      <alignment shrinkToFit="0" vertical="top" wrapText="1"/>
    </xf>
    <xf borderId="5" fillId="6" fontId="2" numFmtId="0" xfId="0" applyAlignment="1" applyBorder="1" applyFill="1" applyFont="1">
      <alignment horizontal="center" shrinkToFit="0" vertical="top" wrapText="1"/>
    </xf>
    <xf borderId="0" fillId="5" fontId="2" numFmtId="165" xfId="0" applyAlignment="1" applyFill="1" applyFont="1" applyNumberFormat="1">
      <alignment shrinkToFit="0" vertical="top" wrapText="1"/>
    </xf>
    <xf borderId="0" fillId="6" fontId="2" numFmtId="0" xfId="0" applyAlignment="1" applyFill="1" applyFont="1">
      <alignment shrinkToFit="0" vertical="top" wrapText="1"/>
    </xf>
    <xf borderId="0" fillId="5" fontId="2" numFmtId="0" xfId="0" applyAlignment="1" applyFill="1" applyFont="1">
      <alignment horizontal="center" shrinkToFit="0" vertical="top" wrapText="1"/>
    </xf>
    <xf borderId="8" fillId="2" fontId="4" numFmtId="0" xfId="0" applyAlignment="1" applyBorder="1" applyFill="1" applyFont="1">
      <alignment vertical="top"/>
    </xf>
    <xf borderId="5" fillId="6" fontId="2" numFmtId="0" xfId="0" applyAlignment="1" applyBorder="1" applyFill="1" applyFont="1">
      <alignment shrinkToFit="0" vertical="center" wrapText="1"/>
    </xf>
    <xf borderId="7" fillId="0" fontId="2" numFmtId="0" xfId="0" applyAlignment="1" applyBorder="1" applyFont="1">
      <alignment horizontal="center" shrinkToFit="0" vertical="top" wrapText="1"/>
    </xf>
    <xf borderId="0" fillId="6" fontId="2" numFmtId="0" xfId="0" applyAlignment="1" applyFill="1" applyFont="1">
      <alignment shrinkToFit="0" vertical="center" wrapText="1"/>
    </xf>
    <xf borderId="9" fillId="0" fontId="2" numFmtId="0" xfId="0" applyAlignment="1" applyBorder="1" applyFont="1">
      <alignment shrinkToFit="0" vertical="top" wrapText="1"/>
    </xf>
    <xf borderId="0" fillId="6" fontId="2" numFmtId="0" xfId="0" applyAlignment="1" applyFill="1" applyFont="1">
      <alignment horizontal="center" shrinkToFit="0" vertical="top" wrapText="1"/>
    </xf>
    <xf borderId="0" fillId="4" fontId="2" numFmtId="1" xfId="0" applyAlignment="1" applyFill="1" applyFont="1" applyNumberFormat="1">
      <alignment shrinkToFit="0" vertical="top" wrapText="1"/>
    </xf>
    <xf borderId="0" fillId="7" fontId="7" numFmtId="0" xfId="0" applyAlignment="1" applyFill="1" applyFont="1">
      <alignment shrinkToFit="0" vertical="top" wrapText="1"/>
    </xf>
    <xf borderId="7" fillId="6" fontId="2" numFmtId="0" xfId="0" applyAlignment="1" applyBorder="1" applyFill="1" applyFont="1">
      <alignment shrinkToFit="0" vertical="top" wrapText="1"/>
    </xf>
    <xf borderId="9" fillId="4" fontId="2" numFmtId="1" xfId="0" applyAlignment="1" applyBorder="1" applyFill="1" applyFont="1" applyNumberFormat="1">
      <alignment shrinkToFit="0" vertical="top" wrapText="1"/>
    </xf>
    <xf borderId="9" fillId="6" fontId="2" numFmtId="9" xfId="0" applyAlignment="1" applyBorder="1" applyFill="1" applyFont="1" applyNumberFormat="1">
      <alignment shrinkToFit="0" vertical="top" wrapText="1"/>
    </xf>
    <xf borderId="9" fillId="6" fontId="2" numFmtId="164" xfId="0" applyAlignment="1" applyBorder="1" applyFill="1" applyFont="1" applyNumberFormat="1">
      <alignment shrinkToFit="0" vertical="top" wrapText="1"/>
    </xf>
    <xf borderId="8" fillId="5" fontId="2" numFmtId="0" xfId="0" applyAlignment="1" applyBorder="1" applyFill="1" applyFont="1">
      <alignment shrinkToFit="0" vertical="top" wrapText="1"/>
    </xf>
    <xf borderId="7" fillId="6" fontId="2" numFmtId="0" xfId="0" applyAlignment="1" applyBorder="1" applyFill="1" applyFont="1">
      <alignment shrinkToFit="0" vertical="center" wrapText="1"/>
    </xf>
    <xf borderId="9" fillId="6" fontId="2" numFmtId="0" xfId="0" applyAlignment="1" applyBorder="1" applyFill="1" applyFont="1">
      <alignment shrinkToFit="0" vertical="center" wrapText="1"/>
    </xf>
    <xf borderId="9" fillId="6" fontId="2" numFmtId="0" xfId="0" applyAlignment="1" applyBorder="1" applyFill="1" applyFont="1">
      <alignment shrinkToFit="0" vertical="top" wrapText="1"/>
    </xf>
    <xf borderId="9" fillId="6" fontId="2" numFmtId="0" xfId="0" applyAlignment="1" applyBorder="1" applyFill="1" applyFont="1">
      <alignment horizontal="center" shrinkToFit="0" vertical="top" wrapText="1"/>
    </xf>
    <xf borderId="9" fillId="4" fontId="2" numFmtId="0" xfId="0" applyAlignment="1" applyBorder="1" applyFill="1" applyFont="1">
      <alignment shrinkToFit="0" vertical="top" wrapText="1"/>
    </xf>
    <xf borderId="9" fillId="4" fontId="2" numFmtId="165" xfId="0" applyAlignment="1" applyBorder="1" applyFill="1" applyFont="1" applyNumberFormat="1">
      <alignment shrinkToFit="0" vertical="top" wrapText="1"/>
    </xf>
    <xf borderId="9" fillId="5" fontId="2" numFmtId="0" xfId="0" applyAlignment="1" applyBorder="1" applyFill="1" applyFont="1">
      <alignment shrinkToFit="0" vertical="top" wrapText="1"/>
    </xf>
    <xf borderId="9" fillId="5" fontId="2" numFmtId="165" xfId="0" applyAlignment="1" applyBorder="1" applyFill="1" applyFont="1" applyNumberFormat="1">
      <alignment shrinkToFit="0" vertical="top" wrapText="1"/>
    </xf>
    <xf borderId="9" fillId="5" fontId="2" numFmtId="0" xfId="0" applyAlignment="1" applyBorder="1" applyFill="1" applyFont="1">
      <alignment horizontal="center" shrinkToFit="0" vertical="top" wrapText="1"/>
    </xf>
    <xf borderId="0" fillId="2" fontId="4" numFmtId="164" xfId="0" applyAlignment="1" applyFill="1" applyFont="1" applyNumberFormat="1">
      <alignment vertical="top"/>
    </xf>
    <xf borderId="0" fillId="4" fontId="2" numFmtId="165" xfId="0" applyAlignment="1" applyFill="1" applyFont="1" applyNumberFormat="1">
      <alignment horizontal="center" shrinkToFit="0" vertical="top" wrapText="1"/>
    </xf>
    <xf borderId="0" fillId="4" fontId="2" numFmtId="164" xfId="0" applyAlignment="1" applyFill="1" applyFont="1" applyNumberFormat="1">
      <alignment horizontal="center" shrinkToFit="0" vertical="top" wrapText="1"/>
    </xf>
    <xf borderId="0" fillId="5" fontId="2" numFmtId="1" xfId="0" applyAlignment="1" applyFill="1" applyFont="1" applyNumberFormat="1">
      <alignment horizontal="center" shrinkToFit="0" vertical="top" wrapText="1"/>
    </xf>
    <xf borderId="9" fillId="4" fontId="2" numFmtId="165" xfId="0" applyAlignment="1" applyBorder="1" applyFill="1" applyFont="1" applyNumberFormat="1">
      <alignment horizontal="center" shrinkToFit="0" vertical="top" wrapText="1"/>
    </xf>
    <xf borderId="9" fillId="4" fontId="2" numFmtId="164" xfId="0" applyAlignment="1" applyBorder="1" applyFill="1" applyFont="1" applyNumberFormat="1">
      <alignment horizontal="center" shrinkToFit="0" vertical="top" wrapText="1"/>
    </xf>
    <xf borderId="9" fillId="5" fontId="2" numFmtId="1" xfId="0" applyAlignment="1" applyBorder="1" applyFill="1" applyFont="1" applyNumberFormat="1">
      <alignment horizontal="center" shrinkToFit="0" vertical="top" wrapText="1"/>
    </xf>
  </cellXfs>
  <cellStyles count="1">
    <cellStyle xfId="0" name="Normal" builtinId="0"/>
  </cellStyles>
  <dxfs count="2">
    <dxf>
      <font>
        <b/>
        <color rgb="FF166534"/>
      </font>
      <fill>
        <patternFill patternType="solid">
          <fgColor rgb="FFDCFCE7"/>
          <bgColor rgb="FFDCFCE7"/>
        </patternFill>
      </fill>
      <border/>
    </dxf>
    <dxf>
      <font>
        <b/>
        <color rgb="FF991B1B"/>
      </font>
      <fill>
        <patternFill patternType="solid">
          <fgColor rgb="FFFEE2E2"/>
          <bgColor rgb="FFFEE2E2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11" Type="http://schemas.openxmlformats.org/officeDocument/2006/relationships/worksheet" Target="worksheets/sheet8.xml"/><Relationship Id="rId10" Type="http://schemas.openxmlformats.org/officeDocument/2006/relationships/worksheet" Target="worksheets/sheet7.xml"/><Relationship Id="rId12" Type="http://customschemas.google.com/relationships/workbookmetadata" Target="metadata"/><Relationship Id="rId9" Type="http://schemas.openxmlformats.org/officeDocument/2006/relationships/worksheet" Target="worksheets/sheet6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16.0"/>
    <col customWidth="1" min="2" max="2" width="78.0"/>
    <col customWidth="1" min="3" max="3" width="54.0"/>
    <col customWidth="1" min="4" max="8" width="12.0"/>
    <col customWidth="1" min="9" max="26" width="8.63"/>
  </cols>
  <sheetData>
    <row r="1" ht="27.75" customHeight="1">
      <c r="A1" s="1" t="s">
        <v>1</v>
      </c>
      <c r="B1" s="2"/>
      <c r="C1" s="2"/>
      <c r="D1" s="2"/>
      <c r="E1" s="2"/>
      <c r="F1" s="2"/>
      <c r="G1" s="2"/>
      <c r="H1" s="2"/>
    </row>
    <row r="2" ht="30.0" customHeight="1">
      <c r="A2" s="3" t="s">
        <v>5</v>
      </c>
    </row>
    <row r="3">
      <c r="A3" s="4"/>
      <c r="B3" s="4"/>
      <c r="C3" s="4"/>
      <c r="D3" s="4"/>
      <c r="E3" s="4"/>
      <c r="F3" s="4"/>
      <c r="G3" s="4"/>
      <c r="H3" s="4"/>
    </row>
    <row r="4">
      <c r="A4" s="5" t="s">
        <v>9</v>
      </c>
      <c r="B4" s="9">
        <v>9.0</v>
      </c>
      <c r="C4" s="4"/>
      <c r="D4" s="4"/>
      <c r="E4" s="4"/>
      <c r="F4" s="4"/>
      <c r="G4" s="4"/>
      <c r="H4" s="4"/>
    </row>
    <row r="5">
      <c r="A5" s="11" t="s">
        <v>14</v>
      </c>
      <c r="B5" s="13" t="s">
        <v>17</v>
      </c>
      <c r="C5" s="4"/>
      <c r="D5" s="4"/>
      <c r="E5" s="4"/>
      <c r="F5" s="4"/>
      <c r="G5" s="4"/>
      <c r="H5" s="4"/>
    </row>
    <row r="6">
      <c r="A6" s="11" t="s">
        <v>18</v>
      </c>
      <c r="B6" s="13" t="s">
        <v>19</v>
      </c>
      <c r="C6" s="4"/>
      <c r="D6" s="4"/>
      <c r="E6" s="4"/>
      <c r="F6" s="4"/>
      <c r="G6" s="4"/>
      <c r="H6" s="4"/>
    </row>
    <row r="7">
      <c r="A7" s="11" t="s">
        <v>20</v>
      </c>
      <c r="B7" s="16" t="s">
        <v>21</v>
      </c>
      <c r="C7" s="4"/>
      <c r="D7" s="4"/>
      <c r="E7" s="4"/>
      <c r="F7" s="4"/>
      <c r="G7" s="4"/>
      <c r="H7" s="4"/>
    </row>
    <row r="8">
      <c r="A8" s="11" t="s">
        <v>23</v>
      </c>
      <c r="B8" s="16" t="s">
        <v>24</v>
      </c>
      <c r="C8" s="4"/>
      <c r="D8" s="4"/>
      <c r="E8" s="4"/>
      <c r="F8" s="4"/>
      <c r="G8" s="4"/>
      <c r="H8" s="4"/>
    </row>
    <row r="9">
      <c r="A9" s="11" t="s">
        <v>25</v>
      </c>
      <c r="B9" s="16" t="s">
        <v>26</v>
      </c>
      <c r="C9" s="4"/>
      <c r="D9" s="4"/>
      <c r="E9" s="4"/>
      <c r="F9" s="4"/>
      <c r="G9" s="4"/>
      <c r="H9" s="4"/>
    </row>
    <row r="10">
      <c r="A10" s="18" t="s">
        <v>27</v>
      </c>
      <c r="B10" s="19" t="s">
        <v>28</v>
      </c>
      <c r="C10" s="4"/>
      <c r="D10" s="4"/>
      <c r="E10" s="4"/>
      <c r="F10" s="4"/>
      <c r="G10" s="4"/>
      <c r="H10" s="4"/>
    </row>
    <row r="11">
      <c r="A11" s="4"/>
      <c r="B11" s="4"/>
      <c r="C11" s="4"/>
      <c r="D11" s="4"/>
      <c r="E11" s="4"/>
      <c r="F11" s="4"/>
      <c r="G11" s="4"/>
      <c r="H11" s="4"/>
    </row>
    <row r="12">
      <c r="A12" s="21" t="s">
        <v>30</v>
      </c>
      <c r="B12" s="4"/>
      <c r="C12" s="4"/>
      <c r="D12" s="4"/>
      <c r="E12" s="4"/>
      <c r="F12" s="4"/>
      <c r="G12" s="4"/>
      <c r="H12" s="4"/>
    </row>
    <row r="13">
      <c r="A13" s="23">
        <v>1.0</v>
      </c>
      <c r="B13" s="9" t="s">
        <v>34</v>
      </c>
      <c r="C13" s="4"/>
      <c r="D13" s="4"/>
      <c r="E13" s="4"/>
      <c r="F13" s="4"/>
      <c r="G13" s="4"/>
      <c r="H13" s="4"/>
    </row>
    <row r="14">
      <c r="A14" s="26">
        <v>2.0</v>
      </c>
      <c r="B14" s="28" t="s">
        <v>35</v>
      </c>
      <c r="C14" s="4"/>
      <c r="D14" s="4"/>
      <c r="E14" s="4"/>
      <c r="F14" s="4"/>
      <c r="G14" s="4"/>
      <c r="H14" s="4"/>
    </row>
    <row r="15">
      <c r="A15" s="29">
        <v>3.0</v>
      </c>
      <c r="B15" s="13" t="s">
        <v>40</v>
      </c>
      <c r="C15" s="4"/>
      <c r="D15" s="4"/>
      <c r="E15" s="4"/>
      <c r="F15" s="4"/>
      <c r="G15" s="4"/>
      <c r="H15" s="4"/>
    </row>
    <row r="16">
      <c r="A16" s="26">
        <v>4.0</v>
      </c>
      <c r="B16" s="28" t="s">
        <v>47</v>
      </c>
      <c r="C16" s="4"/>
      <c r="D16" s="4"/>
      <c r="E16" s="4"/>
      <c r="F16" s="4"/>
      <c r="G16" s="4"/>
      <c r="H16" s="4"/>
    </row>
    <row r="17">
      <c r="A17" s="30">
        <v>5.0</v>
      </c>
      <c r="B17" s="31" t="s">
        <v>63</v>
      </c>
      <c r="C17" s="4"/>
      <c r="D17" s="4"/>
      <c r="E17" s="4"/>
      <c r="F17" s="4"/>
      <c r="G17" s="4"/>
      <c r="H17" s="4"/>
    </row>
    <row r="18">
      <c r="A18" s="4"/>
      <c r="B18" s="4"/>
      <c r="C18" s="4"/>
      <c r="D18" s="4"/>
      <c r="E18" s="4"/>
      <c r="F18" s="4"/>
      <c r="G18" s="4"/>
      <c r="H18" s="4"/>
    </row>
    <row r="19">
      <c r="A19" s="21" t="s">
        <v>77</v>
      </c>
      <c r="B19" s="4"/>
      <c r="C19" s="4"/>
      <c r="D19" s="4"/>
      <c r="E19" s="4"/>
      <c r="F19" s="4"/>
      <c r="G19" s="4"/>
      <c r="H19" s="4"/>
    </row>
    <row r="20" ht="33.75" customHeight="1">
      <c r="A20" s="7" t="s">
        <v>85</v>
      </c>
      <c r="B20" s="8" t="s">
        <v>87</v>
      </c>
      <c r="C20" s="10" t="s">
        <v>90</v>
      </c>
      <c r="D20" s="4"/>
      <c r="E20" s="4"/>
      <c r="F20" s="4"/>
      <c r="G20" s="4"/>
      <c r="H20" s="4"/>
    </row>
    <row r="21" ht="15.75" customHeight="1">
      <c r="A21" s="39">
        <v>4.0</v>
      </c>
      <c r="B21" s="34" t="s">
        <v>93</v>
      </c>
      <c r="C21" s="13" t="s">
        <v>94</v>
      </c>
      <c r="D21" s="4"/>
      <c r="E21" s="4"/>
      <c r="F21" s="4"/>
      <c r="G21" s="4"/>
      <c r="H21" s="4"/>
    </row>
    <row r="22" ht="15.75" customHeight="1">
      <c r="A22" s="43">
        <v>3.0</v>
      </c>
      <c r="B22" s="45" t="s">
        <v>96</v>
      </c>
      <c r="C22" s="28" t="s">
        <v>97</v>
      </c>
      <c r="D22" s="4"/>
      <c r="E22" s="4"/>
      <c r="F22" s="4"/>
      <c r="G22" s="4"/>
      <c r="H22" s="4"/>
    </row>
    <row r="23" ht="15.75" customHeight="1">
      <c r="A23" s="39">
        <v>2.0</v>
      </c>
      <c r="B23" s="34" t="s">
        <v>98</v>
      </c>
      <c r="C23" s="13" t="s">
        <v>99</v>
      </c>
      <c r="D23" s="4"/>
      <c r="E23" s="4"/>
      <c r="F23" s="4"/>
      <c r="G23" s="4"/>
      <c r="H23" s="4"/>
    </row>
    <row r="24" ht="15.75" customHeight="1">
      <c r="A24" s="43">
        <v>1.0</v>
      </c>
      <c r="B24" s="45" t="s">
        <v>100</v>
      </c>
      <c r="C24" s="28" t="s">
        <v>102</v>
      </c>
      <c r="D24" s="4"/>
      <c r="E24" s="4"/>
      <c r="F24" s="4"/>
      <c r="G24" s="4"/>
      <c r="H24" s="4"/>
    </row>
    <row r="25" ht="15.75" customHeight="1">
      <c r="A25" s="49">
        <v>0.0</v>
      </c>
      <c r="B25" s="51" t="s">
        <v>103</v>
      </c>
      <c r="C25" s="31" t="s">
        <v>109</v>
      </c>
      <c r="D25" s="4"/>
      <c r="E25" s="4"/>
      <c r="F25" s="4"/>
      <c r="G25" s="4"/>
      <c r="H25" s="4"/>
    </row>
    <row r="26" ht="15.75" customHeight="1">
      <c r="A26" s="4"/>
      <c r="B26" s="4"/>
      <c r="C26" s="4"/>
      <c r="D26" s="4"/>
      <c r="E26" s="4"/>
      <c r="F26" s="4"/>
      <c r="G26" s="4"/>
      <c r="H26" s="4"/>
    </row>
    <row r="27" ht="30.0" customHeight="1">
      <c r="A27" s="54" t="s">
        <v>114</v>
      </c>
    </row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2:H2"/>
    <mergeCell ref="A27:H27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>
      <pane xSplit="3.0" ySplit="5.0" topLeftCell="D6" activePane="bottomRight" state="frozen"/>
      <selection activeCell="D1" sqref="D1" pane="topRight"/>
      <selection activeCell="A6" sqref="A6" pane="bottomLeft"/>
      <selection activeCell="D6" sqref="D6" pane="bottomRight"/>
    </sheetView>
  </sheetViews>
  <sheetFormatPr customHeight="1" defaultColWidth="12.63" defaultRowHeight="15.0"/>
  <cols>
    <col customWidth="1" min="1" max="1" width="9.0"/>
    <col customWidth="1" min="2" max="2" width="12.0"/>
    <col customWidth="1" min="3" max="3" width="8.0"/>
    <col customWidth="1" min="4" max="4" width="22.0"/>
    <col customWidth="1" min="5" max="5" width="30.0"/>
    <col customWidth="1" min="6" max="6" width="55.0"/>
    <col customWidth="1" min="7" max="7" width="7.0"/>
    <col customWidth="1" min="8" max="8" width="20.0"/>
    <col customWidth="1" min="9" max="9" width="18.0"/>
    <col customWidth="1" min="10" max="10" width="15.0"/>
    <col customWidth="1" min="11" max="11" width="30.0"/>
    <col customWidth="1" min="12" max="12" width="34.0"/>
    <col customWidth="1" min="13" max="13" width="20.0"/>
    <col customWidth="1" min="14" max="14" width="15.0"/>
    <col customWidth="1" min="15" max="15" width="13.0"/>
    <col customWidth="1" min="16" max="16" width="38.0"/>
    <col customWidth="1" min="17" max="26" width="8.63"/>
  </cols>
  <sheetData>
    <row r="1" ht="27.75" customHeight="1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ht="30.0" customHeight="1">
      <c r="A2" s="3" t="s">
        <v>6</v>
      </c>
    </row>
    <row r="3">
      <c r="A3" s="6" t="s">
        <v>7</v>
      </c>
      <c r="B3" s="15">
        <f>SUM(O6:O19)</f>
        <v>0</v>
      </c>
      <c r="C3" s="6" t="s">
        <v>22</v>
      </c>
      <c r="D3" s="6" t="str">
        <f>IF(B3=100,"Siap Sidang",IF(B3&gt;=80,"Penyelesai Sistem",IF(B3&gt;=60,"Analis Eksperimen",IF(B3&gt;=40,"Pembangun Baseline",IF(B3&gt;=20,"Perumus Masalah","Perintis")))))</f>
        <v>Perintis</v>
      </c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</row>
    <row r="4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</row>
    <row r="5" ht="33.75" customHeight="1">
      <c r="A5" s="7" t="s">
        <v>41</v>
      </c>
      <c r="B5" s="8" t="s">
        <v>46</v>
      </c>
      <c r="C5" s="8" t="s">
        <v>48</v>
      </c>
      <c r="D5" s="8" t="s">
        <v>50</v>
      </c>
      <c r="E5" s="8" t="s">
        <v>53</v>
      </c>
      <c r="F5" s="8" t="s">
        <v>55</v>
      </c>
      <c r="G5" s="8" t="s">
        <v>56</v>
      </c>
      <c r="H5" s="8" t="s">
        <v>57</v>
      </c>
      <c r="I5" s="8" t="s">
        <v>58</v>
      </c>
      <c r="J5" s="8" t="s">
        <v>60</v>
      </c>
      <c r="K5" s="8" t="s">
        <v>61</v>
      </c>
      <c r="L5" s="8" t="s">
        <v>64</v>
      </c>
      <c r="M5" s="8" t="s">
        <v>66</v>
      </c>
      <c r="N5" s="8" t="s">
        <v>67</v>
      </c>
      <c r="O5" s="8" t="s">
        <v>69</v>
      </c>
      <c r="P5" s="10" t="s">
        <v>72</v>
      </c>
    </row>
    <row r="6" ht="54.0" customHeight="1">
      <c r="A6" s="32" t="s">
        <v>73</v>
      </c>
      <c r="B6" s="33" t="s">
        <v>76</v>
      </c>
      <c r="C6" s="33">
        <v>3.0</v>
      </c>
      <c r="D6" s="33" t="s">
        <v>78</v>
      </c>
      <c r="E6" s="34" t="s">
        <v>81</v>
      </c>
      <c r="F6" s="34" t="s">
        <v>84</v>
      </c>
      <c r="G6" s="35">
        <v>3.0</v>
      </c>
      <c r="H6" s="36"/>
      <c r="I6" s="38" t="s">
        <v>92</v>
      </c>
      <c r="J6" s="41"/>
      <c r="K6" s="36"/>
      <c r="L6" s="36"/>
      <c r="M6" s="42" t="s">
        <v>95</v>
      </c>
      <c r="N6" s="44"/>
      <c r="O6" s="46">
        <f t="shared" ref="O6:O19" si="1">IF(M6="Terverifikasi",G6,0)</f>
        <v>0</v>
      </c>
      <c r="P6" s="22"/>
    </row>
    <row r="7" ht="54.0" customHeight="1">
      <c r="A7" s="48" t="s">
        <v>101</v>
      </c>
      <c r="B7" s="50" t="s">
        <v>76</v>
      </c>
      <c r="C7" s="50">
        <v>3.0</v>
      </c>
      <c r="D7" s="50" t="s">
        <v>105</v>
      </c>
      <c r="E7" s="45" t="s">
        <v>107</v>
      </c>
      <c r="F7" s="45" t="s">
        <v>110</v>
      </c>
      <c r="G7" s="52">
        <v>4.0</v>
      </c>
      <c r="H7" s="36"/>
      <c r="I7" s="38" t="s">
        <v>92</v>
      </c>
      <c r="J7" s="41"/>
      <c r="K7" s="36"/>
      <c r="L7" s="36"/>
      <c r="M7" s="42" t="s">
        <v>95</v>
      </c>
      <c r="N7" s="44"/>
      <c r="O7" s="46">
        <f t="shared" si="1"/>
        <v>0</v>
      </c>
      <c r="P7" s="22"/>
    </row>
    <row r="8" ht="54.0" customHeight="1">
      <c r="A8" s="32" t="s">
        <v>115</v>
      </c>
      <c r="B8" s="33" t="s">
        <v>76</v>
      </c>
      <c r="C8" s="33">
        <v>4.0</v>
      </c>
      <c r="D8" s="33" t="s">
        <v>116</v>
      </c>
      <c r="E8" s="34" t="s">
        <v>117</v>
      </c>
      <c r="F8" s="34" t="s">
        <v>118</v>
      </c>
      <c r="G8" s="35">
        <v>6.0</v>
      </c>
      <c r="H8" s="36"/>
      <c r="I8" s="38" t="s">
        <v>92</v>
      </c>
      <c r="J8" s="41"/>
      <c r="K8" s="36"/>
      <c r="L8" s="36"/>
      <c r="M8" s="42" t="s">
        <v>95</v>
      </c>
      <c r="N8" s="44"/>
      <c r="O8" s="46">
        <f t="shared" si="1"/>
        <v>0</v>
      </c>
      <c r="P8" s="22"/>
    </row>
    <row r="9" ht="54.0" customHeight="1">
      <c r="A9" s="48" t="s">
        <v>119</v>
      </c>
      <c r="B9" s="50" t="s">
        <v>76</v>
      </c>
      <c r="C9" s="50">
        <v>4.0</v>
      </c>
      <c r="D9" s="50" t="s">
        <v>120</v>
      </c>
      <c r="E9" s="45" t="s">
        <v>121</v>
      </c>
      <c r="F9" s="45" t="s">
        <v>122</v>
      </c>
      <c r="G9" s="52">
        <v>6.0</v>
      </c>
      <c r="H9" s="36"/>
      <c r="I9" s="38" t="s">
        <v>92</v>
      </c>
      <c r="J9" s="41"/>
      <c r="K9" s="36"/>
      <c r="L9" s="36"/>
      <c r="M9" s="42" t="s">
        <v>95</v>
      </c>
      <c r="N9" s="44"/>
      <c r="O9" s="46">
        <f t="shared" si="1"/>
        <v>0</v>
      </c>
      <c r="P9" s="22"/>
    </row>
    <row r="10" ht="54.0" customHeight="1">
      <c r="A10" s="32" t="s">
        <v>124</v>
      </c>
      <c r="B10" s="33" t="s">
        <v>76</v>
      </c>
      <c r="C10" s="33">
        <v>5.0</v>
      </c>
      <c r="D10" s="33" t="s">
        <v>125</v>
      </c>
      <c r="E10" s="34" t="s">
        <v>126</v>
      </c>
      <c r="F10" s="34" t="s">
        <v>127</v>
      </c>
      <c r="G10" s="35">
        <v>6.0</v>
      </c>
      <c r="H10" s="36"/>
      <c r="I10" s="38" t="s">
        <v>92</v>
      </c>
      <c r="J10" s="41"/>
      <c r="K10" s="36"/>
      <c r="L10" s="36"/>
      <c r="M10" s="42" t="s">
        <v>95</v>
      </c>
      <c r="N10" s="44"/>
      <c r="O10" s="46">
        <f t="shared" si="1"/>
        <v>0</v>
      </c>
      <c r="P10" s="22"/>
    </row>
    <row r="11" ht="54.0" customHeight="1">
      <c r="A11" s="48" t="s">
        <v>129</v>
      </c>
      <c r="B11" s="50" t="s">
        <v>76</v>
      </c>
      <c r="C11" s="50">
        <v>6.0</v>
      </c>
      <c r="D11" s="50" t="s">
        <v>131</v>
      </c>
      <c r="E11" s="45" t="s">
        <v>132</v>
      </c>
      <c r="F11" s="45" t="s">
        <v>133</v>
      </c>
      <c r="G11" s="52">
        <v>7.0</v>
      </c>
      <c r="H11" s="36"/>
      <c r="I11" s="38" t="s">
        <v>92</v>
      </c>
      <c r="J11" s="41"/>
      <c r="K11" s="36"/>
      <c r="L11" s="36"/>
      <c r="M11" s="42" t="s">
        <v>95</v>
      </c>
      <c r="N11" s="44"/>
      <c r="O11" s="46">
        <f t="shared" si="1"/>
        <v>0</v>
      </c>
      <c r="P11" s="22"/>
    </row>
    <row r="12" ht="54.0" customHeight="1">
      <c r="A12" s="32" t="s">
        <v>134</v>
      </c>
      <c r="B12" s="33" t="s">
        <v>76</v>
      </c>
      <c r="C12" s="33">
        <v>7.0</v>
      </c>
      <c r="D12" s="33" t="s">
        <v>135</v>
      </c>
      <c r="E12" s="34" t="s">
        <v>136</v>
      </c>
      <c r="F12" s="34" t="s">
        <v>137</v>
      </c>
      <c r="G12" s="35">
        <v>8.0</v>
      </c>
      <c r="H12" s="36"/>
      <c r="I12" s="38" t="s">
        <v>92</v>
      </c>
      <c r="J12" s="41"/>
      <c r="K12" s="36"/>
      <c r="L12" s="36"/>
      <c r="M12" s="42" t="s">
        <v>95</v>
      </c>
      <c r="N12" s="44"/>
      <c r="O12" s="46">
        <f t="shared" si="1"/>
        <v>0</v>
      </c>
      <c r="P12" s="22"/>
    </row>
    <row r="13" ht="54.0" customHeight="1">
      <c r="A13" s="48" t="s">
        <v>138</v>
      </c>
      <c r="B13" s="50" t="s">
        <v>139</v>
      </c>
      <c r="C13" s="50">
        <v>9.0</v>
      </c>
      <c r="D13" s="50" t="s">
        <v>140</v>
      </c>
      <c r="E13" s="45" t="s">
        <v>141</v>
      </c>
      <c r="F13" s="45" t="s">
        <v>142</v>
      </c>
      <c r="G13" s="52">
        <v>7.0</v>
      </c>
      <c r="H13" s="36"/>
      <c r="I13" s="36" t="s">
        <v>143</v>
      </c>
      <c r="J13" s="41"/>
      <c r="K13" s="36"/>
      <c r="L13" s="36"/>
      <c r="M13" s="42" t="s">
        <v>95</v>
      </c>
      <c r="N13" s="44"/>
      <c r="O13" s="46">
        <f t="shared" si="1"/>
        <v>0</v>
      </c>
      <c r="P13" s="22"/>
    </row>
    <row r="14" ht="54.0" customHeight="1">
      <c r="A14" s="32" t="s">
        <v>145</v>
      </c>
      <c r="B14" s="33" t="s">
        <v>139</v>
      </c>
      <c r="C14" s="33">
        <v>10.0</v>
      </c>
      <c r="D14" s="33" t="s">
        <v>146</v>
      </c>
      <c r="E14" s="34" t="s">
        <v>147</v>
      </c>
      <c r="F14" s="34" t="s">
        <v>148</v>
      </c>
      <c r="G14" s="35">
        <v>8.0</v>
      </c>
      <c r="H14" s="36"/>
      <c r="I14" s="36" t="s">
        <v>143</v>
      </c>
      <c r="J14" s="41"/>
      <c r="K14" s="36"/>
      <c r="L14" s="36"/>
      <c r="M14" s="42" t="s">
        <v>95</v>
      </c>
      <c r="N14" s="44"/>
      <c r="O14" s="46">
        <f t="shared" si="1"/>
        <v>0</v>
      </c>
      <c r="P14" s="22"/>
    </row>
    <row r="15" ht="54.0" customHeight="1">
      <c r="A15" s="48" t="s">
        <v>149</v>
      </c>
      <c r="B15" s="50" t="s">
        <v>139</v>
      </c>
      <c r="C15" s="50">
        <v>11.0</v>
      </c>
      <c r="D15" s="50" t="s">
        <v>150</v>
      </c>
      <c r="E15" s="45" t="s">
        <v>151</v>
      </c>
      <c r="F15" s="45" t="s">
        <v>152</v>
      </c>
      <c r="G15" s="52">
        <v>9.0</v>
      </c>
      <c r="H15" s="36"/>
      <c r="I15" s="36" t="s">
        <v>143</v>
      </c>
      <c r="J15" s="41"/>
      <c r="K15" s="36"/>
      <c r="L15" s="36"/>
      <c r="M15" s="42" t="s">
        <v>95</v>
      </c>
      <c r="N15" s="44"/>
      <c r="O15" s="46">
        <f t="shared" si="1"/>
        <v>0</v>
      </c>
      <c r="P15" s="22"/>
    </row>
    <row r="16" ht="54.0" customHeight="1">
      <c r="A16" s="32" t="s">
        <v>153</v>
      </c>
      <c r="B16" s="33" t="s">
        <v>139</v>
      </c>
      <c r="C16" s="33">
        <v>12.0</v>
      </c>
      <c r="D16" s="33" t="s">
        <v>154</v>
      </c>
      <c r="E16" s="34" t="s">
        <v>155</v>
      </c>
      <c r="F16" s="34" t="s">
        <v>156</v>
      </c>
      <c r="G16" s="35">
        <v>10.0</v>
      </c>
      <c r="H16" s="36"/>
      <c r="I16" s="36" t="s">
        <v>143</v>
      </c>
      <c r="J16" s="41"/>
      <c r="K16" s="36"/>
      <c r="L16" s="36"/>
      <c r="M16" s="42" t="s">
        <v>95</v>
      </c>
      <c r="N16" s="44"/>
      <c r="O16" s="46">
        <f t="shared" si="1"/>
        <v>0</v>
      </c>
      <c r="P16" s="22"/>
    </row>
    <row r="17" ht="54.0" customHeight="1">
      <c r="A17" s="48" t="s">
        <v>157</v>
      </c>
      <c r="B17" s="50" t="s">
        <v>139</v>
      </c>
      <c r="C17" s="50">
        <v>13.0</v>
      </c>
      <c r="D17" s="50" t="s">
        <v>158</v>
      </c>
      <c r="E17" s="45" t="s">
        <v>159</v>
      </c>
      <c r="F17" s="45" t="s">
        <v>160</v>
      </c>
      <c r="G17" s="52">
        <v>10.0</v>
      </c>
      <c r="H17" s="36"/>
      <c r="I17" s="36" t="s">
        <v>143</v>
      </c>
      <c r="J17" s="41"/>
      <c r="K17" s="36"/>
      <c r="L17" s="36"/>
      <c r="M17" s="42" t="s">
        <v>95</v>
      </c>
      <c r="N17" s="44"/>
      <c r="O17" s="46">
        <f t="shared" si="1"/>
        <v>0</v>
      </c>
      <c r="P17" s="22"/>
    </row>
    <row r="18" ht="54.0" customHeight="1">
      <c r="A18" s="32" t="s">
        <v>161</v>
      </c>
      <c r="B18" s="33" t="s">
        <v>139</v>
      </c>
      <c r="C18" s="33">
        <v>14.0</v>
      </c>
      <c r="D18" s="33" t="s">
        <v>162</v>
      </c>
      <c r="E18" s="34" t="s">
        <v>163</v>
      </c>
      <c r="F18" s="34" t="s">
        <v>164</v>
      </c>
      <c r="G18" s="35">
        <v>7.0</v>
      </c>
      <c r="H18" s="36"/>
      <c r="I18" s="36" t="s">
        <v>143</v>
      </c>
      <c r="J18" s="41"/>
      <c r="K18" s="36"/>
      <c r="L18" s="36"/>
      <c r="M18" s="42" t="s">
        <v>95</v>
      </c>
      <c r="N18" s="44"/>
      <c r="O18" s="46">
        <f t="shared" si="1"/>
        <v>0</v>
      </c>
      <c r="P18" s="22"/>
    </row>
    <row r="19" ht="54.0" customHeight="1">
      <c r="A19" s="60" t="s">
        <v>165</v>
      </c>
      <c r="B19" s="61" t="s">
        <v>139</v>
      </c>
      <c r="C19" s="61">
        <v>15.0</v>
      </c>
      <c r="D19" s="61" t="s">
        <v>166</v>
      </c>
      <c r="E19" s="62" t="s">
        <v>167</v>
      </c>
      <c r="F19" s="62" t="s">
        <v>168</v>
      </c>
      <c r="G19" s="63">
        <v>9.0</v>
      </c>
      <c r="H19" s="64"/>
      <c r="I19" s="64" t="s">
        <v>143</v>
      </c>
      <c r="J19" s="65"/>
      <c r="K19" s="64"/>
      <c r="L19" s="64"/>
      <c r="M19" s="66" t="s">
        <v>95</v>
      </c>
      <c r="N19" s="67"/>
      <c r="O19" s="68">
        <f t="shared" si="1"/>
        <v>0</v>
      </c>
      <c r="P19" s="59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2:P2"/>
  </mergeCells>
  <conditionalFormatting sqref="M6:M19">
    <cfRule type="containsText" dxfId="0" priority="1" operator="containsText" text="Terverifikasi">
      <formula>NOT(ISERROR(SEARCH(("Terverifikasi"),(M6))))</formula>
    </cfRule>
  </conditionalFormatting>
  <conditionalFormatting sqref="M6:M19">
    <cfRule type="containsText" dxfId="1" priority="2" operator="containsText" text="Perlu revisi">
      <formula>NOT(ISERROR(SEARCH(("Perlu revisi"),(M6))))</formula>
    </cfRule>
  </conditionalFormatting>
  <dataValidations>
    <dataValidation type="list" allowBlank="1" sqref="M6:M19">
      <formula1>"Belum diperiksa,Perlu revisi,Terverifikasi"</formula1>
    </dataValidation>
    <dataValidation type="list" allowBlank="1" sqref="I6:I19">
      <formula1>"Belum dimulai,Berjalan,Siap diperiksa,Perlu revisi,Selesai"</formula1>
    </dataValidation>
    <dataValidation type="list" allowBlank="1" sqref="H6:H19">
      <formula1>"Krisantus,Linardi,Kristofer,Leonard"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>
      <pane ySplit="5.0" topLeftCell="A6" activePane="bottomLeft" state="frozen"/>
      <selection activeCell="B7" sqref="B7" pane="bottomLeft"/>
    </sheetView>
  </sheetViews>
  <sheetFormatPr customHeight="1" defaultColWidth="12.63" defaultRowHeight="15.0"/>
  <cols>
    <col customWidth="1" min="1" max="1" width="42.0"/>
    <col customWidth="1" min="2" max="2" width="15.0"/>
    <col customWidth="1" min="3" max="4" width="17.0"/>
    <col customWidth="1" min="5" max="5" width="66.0"/>
    <col customWidth="1" min="6" max="26" width="8.63"/>
  </cols>
  <sheetData>
    <row r="1" ht="27.75" customHeight="1">
      <c r="A1" s="1" t="s">
        <v>2</v>
      </c>
      <c r="B1" s="2"/>
      <c r="C1" s="2"/>
      <c r="D1" s="2"/>
      <c r="E1" s="2"/>
    </row>
    <row r="2" ht="30.0" customHeight="1">
      <c r="A2" s="3" t="s">
        <v>4</v>
      </c>
    </row>
    <row r="3">
      <c r="A3" s="4"/>
      <c r="B3" s="4"/>
      <c r="C3" s="4"/>
      <c r="D3" s="4"/>
      <c r="E3" s="4"/>
    </row>
    <row r="4">
      <c r="A4" s="4"/>
      <c r="B4" s="4"/>
      <c r="C4" s="4"/>
      <c r="D4" s="4"/>
      <c r="E4" s="4"/>
    </row>
    <row r="5" ht="33.75" customHeight="1">
      <c r="A5" s="7" t="s">
        <v>8</v>
      </c>
      <c r="B5" s="8" t="s">
        <v>10</v>
      </c>
      <c r="C5" s="8" t="s">
        <v>11</v>
      </c>
      <c r="D5" s="8" t="s">
        <v>12</v>
      </c>
      <c r="E5" s="10" t="s">
        <v>13</v>
      </c>
    </row>
    <row r="6" ht="45.75" customHeight="1">
      <c r="A6" s="12" t="s">
        <v>15</v>
      </c>
      <c r="B6" s="14">
        <v>0.15</v>
      </c>
      <c r="C6" s="17"/>
      <c r="D6" s="20" t="str">
        <f t="shared" ref="D6:D13" si="1">IF(C6="","",B6*C6)</f>
        <v/>
      </c>
      <c r="E6" s="22" t="s">
        <v>29</v>
      </c>
    </row>
    <row r="7" ht="45.75" customHeight="1">
      <c r="A7" s="24" t="s">
        <v>32</v>
      </c>
      <c r="B7" s="25">
        <v>0.1</v>
      </c>
      <c r="C7" s="17"/>
      <c r="D7" s="27" t="str">
        <f t="shared" si="1"/>
        <v/>
      </c>
      <c r="E7" s="22" t="s">
        <v>36</v>
      </c>
    </row>
    <row r="8" ht="45.75" customHeight="1">
      <c r="A8" s="12" t="s">
        <v>38</v>
      </c>
      <c r="B8" s="14">
        <v>0.1</v>
      </c>
      <c r="C8" s="17"/>
      <c r="D8" s="20" t="str">
        <f t="shared" si="1"/>
        <v/>
      </c>
      <c r="E8" s="22" t="s">
        <v>42</v>
      </c>
    </row>
    <row r="9" ht="45.75" customHeight="1">
      <c r="A9" s="24" t="s">
        <v>44</v>
      </c>
      <c r="B9" s="25">
        <v>0.1</v>
      </c>
      <c r="C9" s="17"/>
      <c r="D9" s="27" t="str">
        <f t="shared" si="1"/>
        <v/>
      </c>
      <c r="E9" s="22" t="s">
        <v>49</v>
      </c>
    </row>
    <row r="10" ht="45.75" customHeight="1">
      <c r="A10" s="12" t="s">
        <v>52</v>
      </c>
      <c r="B10" s="14">
        <v>0.2</v>
      </c>
      <c r="C10" s="17"/>
      <c r="D10" s="20" t="str">
        <f t="shared" si="1"/>
        <v/>
      </c>
      <c r="E10" s="22" t="s">
        <v>59</v>
      </c>
    </row>
    <row r="11" ht="45.75" customHeight="1">
      <c r="A11" s="24" t="s">
        <v>62</v>
      </c>
      <c r="B11" s="25">
        <v>0.1</v>
      </c>
      <c r="C11" s="17"/>
      <c r="D11" s="27" t="str">
        <f t="shared" si="1"/>
        <v/>
      </c>
      <c r="E11" s="22" t="s">
        <v>70</v>
      </c>
    </row>
    <row r="12" ht="45.75" customHeight="1">
      <c r="A12" s="12" t="s">
        <v>71</v>
      </c>
      <c r="B12" s="14">
        <v>0.05</v>
      </c>
      <c r="C12" s="17"/>
      <c r="D12" s="20" t="str">
        <f t="shared" si="1"/>
        <v/>
      </c>
      <c r="E12" s="22" t="s">
        <v>79</v>
      </c>
    </row>
    <row r="13" ht="45.75" customHeight="1">
      <c r="A13" s="24" t="s">
        <v>82</v>
      </c>
      <c r="B13" s="25">
        <v>0.05</v>
      </c>
      <c r="C13" s="17"/>
      <c r="D13" s="27" t="str">
        <f t="shared" si="1"/>
        <v/>
      </c>
      <c r="E13" s="22" t="s">
        <v>86</v>
      </c>
    </row>
    <row r="14">
      <c r="A14" s="37" t="s">
        <v>88</v>
      </c>
      <c r="B14" s="40"/>
      <c r="C14" s="40"/>
      <c r="D14" s="40" t="str">
        <f>IF(COUNT(C6:C13)&lt;8,"",SUM(D6:D13))</f>
        <v/>
      </c>
      <c r="E14" s="47"/>
    </row>
    <row r="15">
      <c r="A15" s="4"/>
      <c r="B15" s="4"/>
      <c r="C15" s="4"/>
      <c r="D15" s="4"/>
      <c r="E15" s="4"/>
    </row>
    <row r="16">
      <c r="A16" s="4"/>
      <c r="B16" s="4"/>
      <c r="C16" s="4"/>
      <c r="D16" s="4"/>
      <c r="E16" s="4"/>
    </row>
    <row r="17" ht="33.75" customHeight="1">
      <c r="A17" s="7" t="s">
        <v>14</v>
      </c>
      <c r="B17" s="8" t="s">
        <v>104</v>
      </c>
      <c r="C17" s="8" t="s">
        <v>106</v>
      </c>
      <c r="D17" s="8" t="s">
        <v>108</v>
      </c>
      <c r="E17" s="10" t="s">
        <v>112</v>
      </c>
    </row>
    <row r="18">
      <c r="A18" s="12" t="s">
        <v>113</v>
      </c>
      <c r="B18" s="53"/>
      <c r="C18" s="14">
        <v>0.15</v>
      </c>
      <c r="D18" s="20" t="str">
        <f t="shared" ref="D18:D21" si="2">IF(COUNT($D$14,B18)&lt;2,"",$D$14+B18*C18)</f>
        <v/>
      </c>
      <c r="E18" s="22"/>
    </row>
    <row r="19">
      <c r="A19" s="24" t="s">
        <v>123</v>
      </c>
      <c r="B19" s="53"/>
      <c r="C19" s="25">
        <v>0.15</v>
      </c>
      <c r="D19" s="27" t="str">
        <f t="shared" si="2"/>
        <v/>
      </c>
      <c r="E19" s="22"/>
    </row>
    <row r="20">
      <c r="A20" s="12" t="s">
        <v>128</v>
      </c>
      <c r="B20" s="53"/>
      <c r="C20" s="14">
        <v>0.15</v>
      </c>
      <c r="D20" s="20" t="str">
        <f t="shared" si="2"/>
        <v/>
      </c>
      <c r="E20" s="22"/>
    </row>
    <row r="21" ht="15.75" customHeight="1">
      <c r="A21" s="55" t="s">
        <v>130</v>
      </c>
      <c r="B21" s="56"/>
      <c r="C21" s="57">
        <v>0.15</v>
      </c>
      <c r="D21" s="58" t="str">
        <f t="shared" si="2"/>
        <v/>
      </c>
      <c r="E21" s="59"/>
    </row>
    <row r="22" ht="15.75" customHeight="1">
      <c r="A22" s="4"/>
      <c r="B22" s="4"/>
      <c r="C22" s="4"/>
      <c r="D22" s="4"/>
      <c r="E22" s="4"/>
    </row>
    <row r="23" ht="33.75" customHeight="1">
      <c r="A23" s="54" t="s">
        <v>144</v>
      </c>
    </row>
    <row r="24" ht="15.75" customHeight="1">
      <c r="A24" s="4"/>
      <c r="B24" s="4"/>
      <c r="C24" s="4"/>
      <c r="D24" s="4"/>
      <c r="E24" s="4"/>
    </row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2:E2"/>
    <mergeCell ref="A23:E23"/>
  </mergeCells>
  <dataValidations>
    <dataValidation type="decimal" allowBlank="1" sqref="C6:C13 B18:B21">
      <formula1>0.0</formula1>
      <formula2>100.0</formula2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>
      <pane ySplit="5.0" topLeftCell="A6" activePane="bottomLeft" state="frozen"/>
      <selection activeCell="B7" sqref="B7" pane="bottomLeft"/>
    </sheetView>
  </sheetViews>
  <sheetFormatPr customHeight="1" defaultColWidth="12.63" defaultRowHeight="15.0"/>
  <cols>
    <col customWidth="1" min="1" max="1" width="42.0"/>
    <col customWidth="1" min="2" max="2" width="15.0"/>
    <col customWidth="1" min="3" max="4" width="17.0"/>
    <col customWidth="1" min="5" max="5" width="66.0"/>
    <col customWidth="1" min="6" max="26" width="8.63"/>
  </cols>
  <sheetData>
    <row r="1" ht="27.75" customHeight="1">
      <c r="A1" s="1" t="s">
        <v>3</v>
      </c>
      <c r="B1" s="2"/>
      <c r="C1" s="2"/>
      <c r="D1" s="2"/>
      <c r="E1" s="2"/>
    </row>
    <row r="2" ht="30.0" customHeight="1">
      <c r="A2" s="3" t="s">
        <v>4</v>
      </c>
    </row>
    <row r="3">
      <c r="A3" s="4"/>
      <c r="B3" s="4"/>
      <c r="C3" s="4"/>
      <c r="D3" s="4"/>
      <c r="E3" s="4"/>
    </row>
    <row r="4">
      <c r="A4" s="4"/>
      <c r="B4" s="4"/>
      <c r="C4" s="4"/>
      <c r="D4" s="4"/>
      <c r="E4" s="4"/>
    </row>
    <row r="5" ht="33.75" customHeight="1">
      <c r="A5" s="7" t="s">
        <v>8</v>
      </c>
      <c r="B5" s="8" t="s">
        <v>10</v>
      </c>
      <c r="C5" s="8" t="s">
        <v>11</v>
      </c>
      <c r="D5" s="8" t="s">
        <v>12</v>
      </c>
      <c r="E5" s="10" t="s">
        <v>13</v>
      </c>
    </row>
    <row r="6" ht="45.75" customHeight="1">
      <c r="A6" s="12" t="s">
        <v>16</v>
      </c>
      <c r="B6" s="14">
        <v>0.12</v>
      </c>
      <c r="C6" s="17"/>
      <c r="D6" s="20" t="str">
        <f t="shared" ref="D6:D13" si="1">IF(C6="","",B6*C6)</f>
        <v/>
      </c>
      <c r="E6" s="22" t="s">
        <v>31</v>
      </c>
    </row>
    <row r="7" ht="45.75" customHeight="1">
      <c r="A7" s="24" t="s">
        <v>33</v>
      </c>
      <c r="B7" s="25">
        <v>0.1</v>
      </c>
      <c r="C7" s="17"/>
      <c r="D7" s="27" t="str">
        <f t="shared" si="1"/>
        <v/>
      </c>
      <c r="E7" s="22" t="s">
        <v>37</v>
      </c>
    </row>
    <row r="8" ht="45.75" customHeight="1">
      <c r="A8" s="12" t="s">
        <v>39</v>
      </c>
      <c r="B8" s="14">
        <v>0.15</v>
      </c>
      <c r="C8" s="17"/>
      <c r="D8" s="20" t="str">
        <f t="shared" si="1"/>
        <v/>
      </c>
      <c r="E8" s="22" t="s">
        <v>43</v>
      </c>
    </row>
    <row r="9" ht="45.75" customHeight="1">
      <c r="A9" s="24" t="s">
        <v>45</v>
      </c>
      <c r="B9" s="25">
        <v>0.18</v>
      </c>
      <c r="C9" s="17"/>
      <c r="D9" s="27" t="str">
        <f t="shared" si="1"/>
        <v/>
      </c>
      <c r="E9" s="22" t="s">
        <v>51</v>
      </c>
    </row>
    <row r="10" ht="45.75" customHeight="1">
      <c r="A10" s="12" t="s">
        <v>54</v>
      </c>
      <c r="B10" s="14">
        <v>0.1</v>
      </c>
      <c r="C10" s="17"/>
      <c r="D10" s="20" t="str">
        <f t="shared" si="1"/>
        <v/>
      </c>
      <c r="E10" s="22" t="s">
        <v>65</v>
      </c>
    </row>
    <row r="11" ht="45.75" customHeight="1">
      <c r="A11" s="24" t="s">
        <v>68</v>
      </c>
      <c r="B11" s="25">
        <v>0.12</v>
      </c>
      <c r="C11" s="17"/>
      <c r="D11" s="27" t="str">
        <f t="shared" si="1"/>
        <v/>
      </c>
      <c r="E11" s="22" t="s">
        <v>74</v>
      </c>
    </row>
    <row r="12" ht="45.75" customHeight="1">
      <c r="A12" s="12" t="s">
        <v>75</v>
      </c>
      <c r="B12" s="14">
        <v>0.08</v>
      </c>
      <c r="C12" s="17"/>
      <c r="D12" s="20" t="str">
        <f t="shared" si="1"/>
        <v/>
      </c>
      <c r="E12" s="22" t="s">
        <v>80</v>
      </c>
    </row>
    <row r="13" ht="45.75" customHeight="1">
      <c r="A13" s="24" t="s">
        <v>83</v>
      </c>
      <c r="B13" s="25">
        <v>0.05</v>
      </c>
      <c r="C13" s="17"/>
      <c r="D13" s="27" t="str">
        <f t="shared" si="1"/>
        <v/>
      </c>
      <c r="E13" s="22" t="s">
        <v>89</v>
      </c>
    </row>
    <row r="14">
      <c r="A14" s="37" t="s">
        <v>91</v>
      </c>
      <c r="B14" s="40"/>
      <c r="C14" s="40"/>
      <c r="D14" s="40" t="str">
        <f>IF(COUNT(C6:C13)&lt;8,"",SUM(D6:D13))</f>
        <v/>
      </c>
      <c r="E14" s="47"/>
    </row>
    <row r="15">
      <c r="A15" s="4"/>
      <c r="B15" s="4"/>
      <c r="C15" s="4"/>
      <c r="D15" s="4"/>
      <c r="E15" s="4"/>
    </row>
    <row r="16">
      <c r="A16" s="4"/>
      <c r="B16" s="4"/>
      <c r="C16" s="4"/>
      <c r="D16" s="4"/>
      <c r="E16" s="4"/>
    </row>
    <row r="17" ht="33.75" customHeight="1">
      <c r="A17" s="7" t="s">
        <v>14</v>
      </c>
      <c r="B17" s="8" t="s">
        <v>104</v>
      </c>
      <c r="C17" s="8" t="s">
        <v>106</v>
      </c>
      <c r="D17" s="8" t="s">
        <v>111</v>
      </c>
      <c r="E17" s="10" t="s">
        <v>112</v>
      </c>
    </row>
    <row r="18">
      <c r="A18" s="12" t="s">
        <v>113</v>
      </c>
      <c r="B18" s="53"/>
      <c r="C18" s="14">
        <v>0.1</v>
      </c>
      <c r="D18" s="20" t="str">
        <f t="shared" ref="D18:D21" si="2">IF(COUNT($D$14,B18)&lt;2,"",$D$14+B18*C18)</f>
        <v/>
      </c>
      <c r="E18" s="22"/>
    </row>
    <row r="19">
      <c r="A19" s="24" t="s">
        <v>123</v>
      </c>
      <c r="B19" s="53"/>
      <c r="C19" s="25">
        <v>0.1</v>
      </c>
      <c r="D19" s="27" t="str">
        <f t="shared" si="2"/>
        <v/>
      </c>
      <c r="E19" s="22"/>
    </row>
    <row r="20">
      <c r="A20" s="12" t="s">
        <v>128</v>
      </c>
      <c r="B20" s="53"/>
      <c r="C20" s="14">
        <v>0.1</v>
      </c>
      <c r="D20" s="20" t="str">
        <f t="shared" si="2"/>
        <v/>
      </c>
      <c r="E20" s="22"/>
    </row>
    <row r="21" ht="15.75" customHeight="1">
      <c r="A21" s="55" t="s">
        <v>130</v>
      </c>
      <c r="B21" s="56"/>
      <c r="C21" s="57">
        <v>0.1</v>
      </c>
      <c r="D21" s="58" t="str">
        <f t="shared" si="2"/>
        <v/>
      </c>
      <c r="E21" s="59"/>
    </row>
    <row r="22" ht="15.75" customHeight="1">
      <c r="A22" s="4"/>
      <c r="B22" s="4"/>
      <c r="C22" s="4"/>
      <c r="D22" s="4"/>
      <c r="E22" s="4"/>
    </row>
    <row r="23" ht="33.75" customHeight="1">
      <c r="A23" s="54" t="s">
        <v>144</v>
      </c>
    </row>
    <row r="24" ht="15.75" customHeight="1">
      <c r="A24" s="4"/>
      <c r="B24" s="4"/>
      <c r="C24" s="4"/>
      <c r="D24" s="4"/>
      <c r="E24" s="4"/>
    </row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2:E2"/>
    <mergeCell ref="A23:E23"/>
  </mergeCells>
  <dataValidations>
    <dataValidation type="decimal" allowBlank="1" sqref="C6:C13 B18:B21">
      <formula1>0.0</formula1>
      <formula2>100.0</formula2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>
      <pane xSplit="2.0" ySplit="6.0" topLeftCell="C7" activePane="bottomRight" state="frozen"/>
      <selection activeCell="C1" sqref="C1" pane="topRight"/>
      <selection activeCell="A7" sqref="A7" pane="bottomLeft"/>
      <selection activeCell="C7" sqref="C7" pane="bottomRight"/>
    </sheetView>
  </sheetViews>
  <sheetFormatPr customHeight="1" defaultColWidth="12.63" defaultRowHeight="15.0"/>
  <cols>
    <col customWidth="1" min="1" max="1" width="9.0"/>
    <col customWidth="1" min="2" max="2" width="14.0"/>
    <col customWidth="1" min="3" max="3" width="28.0"/>
    <col customWidth="1" min="4" max="4" width="48.0"/>
    <col customWidth="1" min="5" max="5" width="40.0"/>
    <col customWidth="1" min="6" max="6" width="32.0"/>
    <col customWidth="1" min="7" max="7" width="30.0"/>
    <col customWidth="1" min="8" max="8" width="32.0"/>
    <col customWidth="1" min="9" max="9" width="12.0"/>
    <col customWidth="1" min="10" max="10" width="18.0"/>
    <col customWidth="1" min="11" max="11" width="12.0"/>
    <col customWidth="1" min="12" max="12" width="34.0"/>
    <col customWidth="1" min="13" max="26" width="8.63"/>
  </cols>
  <sheetData>
    <row r="1" ht="27.75" customHeight="1">
      <c r="A1" s="1" t="s">
        <v>169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</row>
    <row r="2" ht="30.0" customHeight="1">
      <c r="A2" s="3" t="s">
        <v>171</v>
      </c>
    </row>
    <row r="3">
      <c r="A3" s="6" t="s">
        <v>173</v>
      </c>
      <c r="B3" s="69" t="str">
        <f>IF(COUNT(K7:K19)=0,"",AVERAGE(K7:K19)*25)</f>
        <v/>
      </c>
      <c r="C3" s="4"/>
      <c r="D3" s="4"/>
      <c r="E3" s="4"/>
      <c r="F3" s="4"/>
      <c r="G3" s="4"/>
      <c r="H3" s="4"/>
      <c r="I3" s="4"/>
      <c r="J3" s="4"/>
      <c r="K3" s="4"/>
      <c r="L3" s="4"/>
    </row>
    <row r="4" ht="30.0" customHeight="1">
      <c r="A4" s="54" t="s">
        <v>175</v>
      </c>
    </row>
    <row r="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</row>
    <row r="6" ht="33.75" customHeight="1">
      <c r="A6" s="7" t="s">
        <v>48</v>
      </c>
      <c r="B6" s="8" t="s">
        <v>177</v>
      </c>
      <c r="C6" s="8" t="s">
        <v>178</v>
      </c>
      <c r="D6" s="8" t="s">
        <v>179</v>
      </c>
      <c r="E6" s="8" t="s">
        <v>180</v>
      </c>
      <c r="F6" s="8" t="s">
        <v>61</v>
      </c>
      <c r="G6" s="8" t="s">
        <v>181</v>
      </c>
      <c r="H6" s="8" t="s">
        <v>182</v>
      </c>
      <c r="I6" s="8" t="s">
        <v>183</v>
      </c>
      <c r="J6" s="8" t="s">
        <v>184</v>
      </c>
      <c r="K6" s="8" t="s">
        <v>185</v>
      </c>
      <c r="L6" s="10" t="s">
        <v>72</v>
      </c>
    </row>
    <row r="7" ht="66.0" customHeight="1">
      <c r="A7" s="39">
        <v>3.0</v>
      </c>
      <c r="B7" s="70"/>
      <c r="C7" s="36"/>
      <c r="D7" s="36"/>
      <c r="E7" s="36"/>
      <c r="F7" s="36"/>
      <c r="G7" s="36"/>
      <c r="H7" s="36"/>
      <c r="I7" s="71"/>
      <c r="J7" s="46" t="s">
        <v>95</v>
      </c>
      <c r="K7" s="72"/>
      <c r="L7" s="22"/>
    </row>
    <row r="8" ht="66.0" customHeight="1">
      <c r="A8" s="43">
        <v>4.0</v>
      </c>
      <c r="B8" s="70"/>
      <c r="C8" s="36"/>
      <c r="D8" s="36"/>
      <c r="E8" s="36"/>
      <c r="F8" s="36"/>
      <c r="G8" s="36"/>
      <c r="H8" s="36"/>
      <c r="I8" s="71"/>
      <c r="J8" s="46" t="s">
        <v>95</v>
      </c>
      <c r="K8" s="72"/>
      <c r="L8" s="22"/>
    </row>
    <row r="9" ht="66.0" customHeight="1">
      <c r="A9" s="39">
        <v>5.0</v>
      </c>
      <c r="B9" s="70"/>
      <c r="C9" s="36"/>
      <c r="D9" s="36"/>
      <c r="E9" s="36"/>
      <c r="F9" s="36"/>
      <c r="G9" s="36"/>
      <c r="H9" s="36"/>
      <c r="I9" s="71"/>
      <c r="J9" s="46" t="s">
        <v>95</v>
      </c>
      <c r="K9" s="72"/>
      <c r="L9" s="22"/>
    </row>
    <row r="10" ht="66.0" customHeight="1">
      <c r="A10" s="43">
        <v>6.0</v>
      </c>
      <c r="B10" s="70"/>
      <c r="C10" s="36"/>
      <c r="D10" s="36"/>
      <c r="E10" s="36"/>
      <c r="F10" s="36"/>
      <c r="G10" s="36"/>
      <c r="H10" s="36"/>
      <c r="I10" s="71"/>
      <c r="J10" s="46" t="s">
        <v>95</v>
      </c>
      <c r="K10" s="72"/>
      <c r="L10" s="22"/>
    </row>
    <row r="11" ht="66.0" customHeight="1">
      <c r="A11" s="39">
        <v>7.0</v>
      </c>
      <c r="B11" s="70"/>
      <c r="C11" s="36"/>
      <c r="D11" s="36"/>
      <c r="E11" s="36"/>
      <c r="F11" s="36"/>
      <c r="G11" s="36"/>
      <c r="H11" s="36"/>
      <c r="I11" s="71"/>
      <c r="J11" s="46" t="s">
        <v>95</v>
      </c>
      <c r="K11" s="72"/>
      <c r="L11" s="22"/>
    </row>
    <row r="12" ht="66.0" customHeight="1">
      <c r="A12" s="43">
        <v>8.0</v>
      </c>
      <c r="B12" s="70"/>
      <c r="C12" s="36"/>
      <c r="D12" s="36"/>
      <c r="E12" s="36"/>
      <c r="F12" s="36"/>
      <c r="G12" s="36"/>
      <c r="H12" s="36"/>
      <c r="I12" s="71"/>
      <c r="J12" s="46" t="s">
        <v>95</v>
      </c>
      <c r="K12" s="72"/>
      <c r="L12" s="22"/>
    </row>
    <row r="13" ht="66.0" customHeight="1">
      <c r="A13" s="39">
        <v>9.0</v>
      </c>
      <c r="B13" s="70"/>
      <c r="C13" s="36"/>
      <c r="D13" s="36"/>
      <c r="E13" s="36"/>
      <c r="F13" s="36"/>
      <c r="G13" s="36"/>
      <c r="H13" s="36"/>
      <c r="I13" s="71"/>
      <c r="J13" s="46" t="s">
        <v>95</v>
      </c>
      <c r="K13" s="72"/>
      <c r="L13" s="22"/>
    </row>
    <row r="14" ht="66.0" customHeight="1">
      <c r="A14" s="43">
        <v>10.0</v>
      </c>
      <c r="B14" s="70"/>
      <c r="C14" s="36"/>
      <c r="D14" s="36"/>
      <c r="E14" s="36"/>
      <c r="F14" s="36"/>
      <c r="G14" s="36"/>
      <c r="H14" s="36"/>
      <c r="I14" s="71"/>
      <c r="J14" s="46" t="s">
        <v>95</v>
      </c>
      <c r="K14" s="72"/>
      <c r="L14" s="22"/>
    </row>
    <row r="15" ht="66.0" customHeight="1">
      <c r="A15" s="39">
        <v>11.0</v>
      </c>
      <c r="B15" s="70"/>
      <c r="C15" s="36"/>
      <c r="D15" s="36"/>
      <c r="E15" s="36"/>
      <c r="F15" s="36"/>
      <c r="G15" s="36"/>
      <c r="H15" s="36"/>
      <c r="I15" s="71"/>
      <c r="J15" s="46" t="s">
        <v>95</v>
      </c>
      <c r="K15" s="72"/>
      <c r="L15" s="22"/>
    </row>
    <row r="16" ht="66.0" customHeight="1">
      <c r="A16" s="43">
        <v>12.0</v>
      </c>
      <c r="B16" s="70"/>
      <c r="C16" s="36"/>
      <c r="D16" s="36"/>
      <c r="E16" s="36"/>
      <c r="F16" s="36"/>
      <c r="G16" s="36"/>
      <c r="H16" s="36"/>
      <c r="I16" s="71"/>
      <c r="J16" s="46" t="s">
        <v>95</v>
      </c>
      <c r="K16" s="72"/>
      <c r="L16" s="22"/>
    </row>
    <row r="17" ht="66.0" customHeight="1">
      <c r="A17" s="39">
        <v>13.0</v>
      </c>
      <c r="B17" s="70"/>
      <c r="C17" s="36"/>
      <c r="D17" s="36"/>
      <c r="E17" s="36"/>
      <c r="F17" s="36"/>
      <c r="G17" s="36"/>
      <c r="H17" s="36"/>
      <c r="I17" s="71"/>
      <c r="J17" s="46" t="s">
        <v>95</v>
      </c>
      <c r="K17" s="72"/>
      <c r="L17" s="22"/>
    </row>
    <row r="18" ht="66.0" customHeight="1">
      <c r="A18" s="43">
        <v>14.0</v>
      </c>
      <c r="B18" s="70"/>
      <c r="C18" s="36"/>
      <c r="D18" s="36"/>
      <c r="E18" s="36"/>
      <c r="F18" s="36"/>
      <c r="G18" s="36"/>
      <c r="H18" s="36"/>
      <c r="I18" s="71"/>
      <c r="J18" s="46" t="s">
        <v>95</v>
      </c>
      <c r="K18" s="72"/>
      <c r="L18" s="22"/>
    </row>
    <row r="19" ht="66.0" customHeight="1">
      <c r="A19" s="49">
        <v>15.0</v>
      </c>
      <c r="B19" s="73"/>
      <c r="C19" s="64"/>
      <c r="D19" s="64"/>
      <c r="E19" s="64"/>
      <c r="F19" s="64"/>
      <c r="G19" s="64"/>
      <c r="H19" s="64"/>
      <c r="I19" s="74"/>
      <c r="J19" s="68" t="s">
        <v>95</v>
      </c>
      <c r="K19" s="75"/>
      <c r="L19" s="59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2:L2"/>
    <mergeCell ref="A4:L4"/>
  </mergeCells>
  <conditionalFormatting sqref="J7:J19">
    <cfRule type="containsText" dxfId="0" priority="1" operator="containsText" text="Terverifikasi">
      <formula>NOT(ISERROR(SEARCH(("Terverifikasi"),(J7))))</formula>
    </cfRule>
  </conditionalFormatting>
  <conditionalFormatting sqref="J7:J19">
    <cfRule type="containsText" dxfId="1" priority="2" operator="containsText" text="Perlu revisi">
      <formula>NOT(ISERROR(SEARCH(("Perlu revisi"),(J7))))</formula>
    </cfRule>
  </conditionalFormatting>
  <dataValidations>
    <dataValidation type="list" allowBlank="1" sqref="J7:J19">
      <formula1>"Belum diperiksa,Perlu revisi,Terverifikasi"</formula1>
    </dataValidation>
    <dataValidation type="decimal" allowBlank="1" sqref="K7:K19">
      <formula1>0.0</formula1>
      <formula2>4.0</formula2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>
      <pane xSplit="2.0" ySplit="6.0" topLeftCell="C7" activePane="bottomRight" state="frozen"/>
      <selection activeCell="C1" sqref="C1" pane="topRight"/>
      <selection activeCell="A7" sqref="A7" pane="bottomLeft"/>
      <selection activeCell="C7" sqref="C7" pane="bottomRight"/>
    </sheetView>
  </sheetViews>
  <sheetFormatPr customHeight="1" defaultColWidth="12.63" defaultRowHeight="15.0"/>
  <cols>
    <col customWidth="1" min="1" max="1" width="9.0"/>
    <col customWidth="1" min="2" max="2" width="14.0"/>
    <col customWidth="1" min="3" max="3" width="28.0"/>
    <col customWidth="1" min="4" max="4" width="48.0"/>
    <col customWidth="1" min="5" max="5" width="40.0"/>
    <col customWidth="1" min="6" max="6" width="32.0"/>
    <col customWidth="1" min="7" max="7" width="30.0"/>
    <col customWidth="1" min="8" max="8" width="32.0"/>
    <col customWidth="1" min="9" max="9" width="12.0"/>
    <col customWidth="1" min="10" max="10" width="18.0"/>
    <col customWidth="1" min="11" max="11" width="12.0"/>
    <col customWidth="1" min="12" max="12" width="34.0"/>
    <col customWidth="1" min="13" max="26" width="8.63"/>
  </cols>
  <sheetData>
    <row r="1" ht="27.75" customHeight="1">
      <c r="A1" s="1" t="s">
        <v>170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</row>
    <row r="2" ht="30.0" customHeight="1">
      <c r="A2" s="3" t="s">
        <v>172</v>
      </c>
    </row>
    <row r="3">
      <c r="A3" s="6" t="s">
        <v>173</v>
      </c>
      <c r="B3" s="69" t="str">
        <f>IF(COUNT(K7:K19)=0,"",AVERAGE(K7:K19)*25)</f>
        <v/>
      </c>
      <c r="C3" s="4"/>
      <c r="D3" s="4"/>
      <c r="E3" s="4"/>
      <c r="F3" s="4"/>
      <c r="G3" s="4"/>
      <c r="H3" s="4"/>
      <c r="I3" s="4"/>
      <c r="J3" s="4"/>
      <c r="K3" s="4"/>
      <c r="L3" s="4"/>
    </row>
    <row r="4" ht="30.0" customHeight="1">
      <c r="A4" s="54" t="s">
        <v>175</v>
      </c>
    </row>
    <row r="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</row>
    <row r="6" ht="33.75" customHeight="1">
      <c r="A6" s="7" t="s">
        <v>48</v>
      </c>
      <c r="B6" s="8" t="s">
        <v>177</v>
      </c>
      <c r="C6" s="8" t="s">
        <v>178</v>
      </c>
      <c r="D6" s="8" t="s">
        <v>179</v>
      </c>
      <c r="E6" s="8" t="s">
        <v>180</v>
      </c>
      <c r="F6" s="8" t="s">
        <v>61</v>
      </c>
      <c r="G6" s="8" t="s">
        <v>181</v>
      </c>
      <c r="H6" s="8" t="s">
        <v>182</v>
      </c>
      <c r="I6" s="8" t="s">
        <v>183</v>
      </c>
      <c r="J6" s="8" t="s">
        <v>184</v>
      </c>
      <c r="K6" s="8" t="s">
        <v>185</v>
      </c>
      <c r="L6" s="10" t="s">
        <v>72</v>
      </c>
    </row>
    <row r="7" ht="66.0" customHeight="1">
      <c r="A7" s="39">
        <v>3.0</v>
      </c>
      <c r="B7" s="70"/>
      <c r="C7" s="36"/>
      <c r="D7" s="36"/>
      <c r="E7" s="36"/>
      <c r="F7" s="36"/>
      <c r="G7" s="36"/>
      <c r="H7" s="36"/>
      <c r="I7" s="71"/>
      <c r="J7" s="46" t="s">
        <v>95</v>
      </c>
      <c r="K7" s="72"/>
      <c r="L7" s="22"/>
    </row>
    <row r="8" ht="66.0" customHeight="1">
      <c r="A8" s="43">
        <v>4.0</v>
      </c>
      <c r="B8" s="70"/>
      <c r="C8" s="36"/>
      <c r="D8" s="36"/>
      <c r="E8" s="36"/>
      <c r="F8" s="36"/>
      <c r="G8" s="36"/>
      <c r="H8" s="36"/>
      <c r="I8" s="71"/>
      <c r="J8" s="46" t="s">
        <v>95</v>
      </c>
      <c r="K8" s="72"/>
      <c r="L8" s="22"/>
    </row>
    <row r="9" ht="66.0" customHeight="1">
      <c r="A9" s="39">
        <v>5.0</v>
      </c>
      <c r="B9" s="70"/>
      <c r="C9" s="36"/>
      <c r="D9" s="36"/>
      <c r="E9" s="36"/>
      <c r="F9" s="36"/>
      <c r="G9" s="36"/>
      <c r="H9" s="36"/>
      <c r="I9" s="71"/>
      <c r="J9" s="46" t="s">
        <v>95</v>
      </c>
      <c r="K9" s="72"/>
      <c r="L9" s="22"/>
    </row>
    <row r="10" ht="66.0" customHeight="1">
      <c r="A10" s="43">
        <v>6.0</v>
      </c>
      <c r="B10" s="70"/>
      <c r="C10" s="36"/>
      <c r="D10" s="36"/>
      <c r="E10" s="36"/>
      <c r="F10" s="36"/>
      <c r="G10" s="36"/>
      <c r="H10" s="36"/>
      <c r="I10" s="71"/>
      <c r="J10" s="46" t="s">
        <v>95</v>
      </c>
      <c r="K10" s="72"/>
      <c r="L10" s="22"/>
    </row>
    <row r="11" ht="66.0" customHeight="1">
      <c r="A11" s="39">
        <v>7.0</v>
      </c>
      <c r="B11" s="70"/>
      <c r="C11" s="36"/>
      <c r="D11" s="36"/>
      <c r="E11" s="36"/>
      <c r="F11" s="36"/>
      <c r="G11" s="36"/>
      <c r="H11" s="36"/>
      <c r="I11" s="71"/>
      <c r="J11" s="46" t="s">
        <v>95</v>
      </c>
      <c r="K11" s="72"/>
      <c r="L11" s="22"/>
    </row>
    <row r="12" ht="66.0" customHeight="1">
      <c r="A12" s="43">
        <v>8.0</v>
      </c>
      <c r="B12" s="70"/>
      <c r="C12" s="36"/>
      <c r="D12" s="36"/>
      <c r="E12" s="36"/>
      <c r="F12" s="36"/>
      <c r="G12" s="36"/>
      <c r="H12" s="36"/>
      <c r="I12" s="71"/>
      <c r="J12" s="46" t="s">
        <v>95</v>
      </c>
      <c r="K12" s="72"/>
      <c r="L12" s="22"/>
    </row>
    <row r="13" ht="66.0" customHeight="1">
      <c r="A13" s="39">
        <v>9.0</v>
      </c>
      <c r="B13" s="70"/>
      <c r="C13" s="36"/>
      <c r="D13" s="36"/>
      <c r="E13" s="36"/>
      <c r="F13" s="36"/>
      <c r="G13" s="36"/>
      <c r="H13" s="36"/>
      <c r="I13" s="71"/>
      <c r="J13" s="46" t="s">
        <v>95</v>
      </c>
      <c r="K13" s="72"/>
      <c r="L13" s="22"/>
    </row>
    <row r="14" ht="66.0" customHeight="1">
      <c r="A14" s="43">
        <v>10.0</v>
      </c>
      <c r="B14" s="70"/>
      <c r="C14" s="36"/>
      <c r="D14" s="36"/>
      <c r="E14" s="36"/>
      <c r="F14" s="36"/>
      <c r="G14" s="36"/>
      <c r="H14" s="36"/>
      <c r="I14" s="71"/>
      <c r="J14" s="46" t="s">
        <v>95</v>
      </c>
      <c r="K14" s="72"/>
      <c r="L14" s="22"/>
    </row>
    <row r="15" ht="66.0" customHeight="1">
      <c r="A15" s="39">
        <v>11.0</v>
      </c>
      <c r="B15" s="70"/>
      <c r="C15" s="36"/>
      <c r="D15" s="36"/>
      <c r="E15" s="36"/>
      <c r="F15" s="36"/>
      <c r="G15" s="36"/>
      <c r="H15" s="36"/>
      <c r="I15" s="71"/>
      <c r="J15" s="46" t="s">
        <v>95</v>
      </c>
      <c r="K15" s="72"/>
      <c r="L15" s="22"/>
    </row>
    <row r="16" ht="66.0" customHeight="1">
      <c r="A16" s="43">
        <v>12.0</v>
      </c>
      <c r="B16" s="70"/>
      <c r="C16" s="36"/>
      <c r="D16" s="36"/>
      <c r="E16" s="36"/>
      <c r="F16" s="36"/>
      <c r="G16" s="36"/>
      <c r="H16" s="36"/>
      <c r="I16" s="71"/>
      <c r="J16" s="46" t="s">
        <v>95</v>
      </c>
      <c r="K16" s="72"/>
      <c r="L16" s="22"/>
    </row>
    <row r="17" ht="66.0" customHeight="1">
      <c r="A17" s="39">
        <v>13.0</v>
      </c>
      <c r="B17" s="70"/>
      <c r="C17" s="36"/>
      <c r="D17" s="36"/>
      <c r="E17" s="36"/>
      <c r="F17" s="36"/>
      <c r="G17" s="36"/>
      <c r="H17" s="36"/>
      <c r="I17" s="71"/>
      <c r="J17" s="46" t="s">
        <v>95</v>
      </c>
      <c r="K17" s="72"/>
      <c r="L17" s="22"/>
    </row>
    <row r="18" ht="66.0" customHeight="1">
      <c r="A18" s="43">
        <v>14.0</v>
      </c>
      <c r="B18" s="70"/>
      <c r="C18" s="36"/>
      <c r="D18" s="36"/>
      <c r="E18" s="36"/>
      <c r="F18" s="36"/>
      <c r="G18" s="36"/>
      <c r="H18" s="36"/>
      <c r="I18" s="71"/>
      <c r="J18" s="46" t="s">
        <v>95</v>
      </c>
      <c r="K18" s="72"/>
      <c r="L18" s="22"/>
    </row>
    <row r="19" ht="66.0" customHeight="1">
      <c r="A19" s="49">
        <v>15.0</v>
      </c>
      <c r="B19" s="73"/>
      <c r="C19" s="64"/>
      <c r="D19" s="64"/>
      <c r="E19" s="64"/>
      <c r="F19" s="64"/>
      <c r="G19" s="64"/>
      <c r="H19" s="64"/>
      <c r="I19" s="74"/>
      <c r="J19" s="68" t="s">
        <v>95</v>
      </c>
      <c r="K19" s="75"/>
      <c r="L19" s="59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2:L2"/>
    <mergeCell ref="A4:L4"/>
  </mergeCells>
  <conditionalFormatting sqref="J7:J19">
    <cfRule type="containsText" dxfId="0" priority="1" operator="containsText" text="Terverifikasi">
      <formula>NOT(ISERROR(SEARCH(("Terverifikasi"),(J7))))</formula>
    </cfRule>
  </conditionalFormatting>
  <conditionalFormatting sqref="J7:J19">
    <cfRule type="containsText" dxfId="1" priority="2" operator="containsText" text="Perlu revisi">
      <formula>NOT(ISERROR(SEARCH(("Perlu revisi"),(J7))))</formula>
    </cfRule>
  </conditionalFormatting>
  <dataValidations>
    <dataValidation type="list" allowBlank="1" sqref="J7:J19">
      <formula1>"Belum diperiksa,Perlu revisi,Terverifikasi"</formula1>
    </dataValidation>
    <dataValidation type="decimal" allowBlank="1" sqref="K7:K19">
      <formula1>0.0</formula1>
      <formula2>4.0</formula2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>
      <pane xSplit="2.0" ySplit="6.0" topLeftCell="C7" activePane="bottomRight" state="frozen"/>
      <selection activeCell="C1" sqref="C1" pane="topRight"/>
      <selection activeCell="A7" sqref="A7" pane="bottomLeft"/>
      <selection activeCell="C7" sqref="C7" pane="bottomRight"/>
    </sheetView>
  </sheetViews>
  <sheetFormatPr customHeight="1" defaultColWidth="12.63" defaultRowHeight="15.0"/>
  <cols>
    <col customWidth="1" min="1" max="1" width="9.0"/>
    <col customWidth="1" min="2" max="2" width="14.0"/>
    <col customWidth="1" min="3" max="3" width="28.0"/>
    <col customWidth="1" min="4" max="4" width="48.0"/>
    <col customWidth="1" min="5" max="5" width="40.0"/>
    <col customWidth="1" min="6" max="6" width="32.0"/>
    <col customWidth="1" min="7" max="7" width="30.0"/>
    <col customWidth="1" min="8" max="8" width="32.0"/>
    <col customWidth="1" min="9" max="9" width="12.0"/>
    <col customWidth="1" min="10" max="10" width="18.0"/>
    <col customWidth="1" min="11" max="11" width="12.0"/>
    <col customWidth="1" min="12" max="12" width="34.0"/>
    <col customWidth="1" min="13" max="26" width="8.63"/>
  </cols>
  <sheetData>
    <row r="1" ht="27.75" customHeight="1">
      <c r="A1" s="1" t="s">
        <v>174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</row>
    <row r="2" ht="30.0" customHeight="1">
      <c r="A2" s="3" t="s">
        <v>176</v>
      </c>
    </row>
    <row r="3">
      <c r="A3" s="6" t="s">
        <v>173</v>
      </c>
      <c r="B3" s="69" t="str">
        <f>IF(COUNT(K7:K19)=0,"",AVERAGE(K7:K19)*25)</f>
        <v/>
      </c>
      <c r="C3" s="4"/>
      <c r="D3" s="4"/>
      <c r="E3" s="4"/>
      <c r="F3" s="4"/>
      <c r="G3" s="4"/>
      <c r="H3" s="4"/>
      <c r="I3" s="4"/>
      <c r="J3" s="4"/>
      <c r="K3" s="4"/>
      <c r="L3" s="4"/>
    </row>
    <row r="4" ht="30.0" customHeight="1">
      <c r="A4" s="54" t="s">
        <v>175</v>
      </c>
    </row>
    <row r="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</row>
    <row r="6" ht="33.75" customHeight="1">
      <c r="A6" s="7" t="s">
        <v>48</v>
      </c>
      <c r="B6" s="8" t="s">
        <v>177</v>
      </c>
      <c r="C6" s="8" t="s">
        <v>178</v>
      </c>
      <c r="D6" s="8" t="s">
        <v>179</v>
      </c>
      <c r="E6" s="8" t="s">
        <v>180</v>
      </c>
      <c r="F6" s="8" t="s">
        <v>61</v>
      </c>
      <c r="G6" s="8" t="s">
        <v>181</v>
      </c>
      <c r="H6" s="8" t="s">
        <v>182</v>
      </c>
      <c r="I6" s="8" t="s">
        <v>183</v>
      </c>
      <c r="J6" s="8" t="s">
        <v>184</v>
      </c>
      <c r="K6" s="8" t="s">
        <v>185</v>
      </c>
      <c r="L6" s="10" t="s">
        <v>72</v>
      </c>
    </row>
    <row r="7" ht="66.0" customHeight="1">
      <c r="A7" s="39">
        <v>3.0</v>
      </c>
      <c r="B7" s="70"/>
      <c r="C7" s="36"/>
      <c r="D7" s="36"/>
      <c r="E7" s="36"/>
      <c r="F7" s="36"/>
      <c r="G7" s="36"/>
      <c r="H7" s="36"/>
      <c r="I7" s="71"/>
      <c r="J7" s="46" t="s">
        <v>95</v>
      </c>
      <c r="K7" s="72"/>
      <c r="L7" s="22"/>
    </row>
    <row r="8" ht="66.0" customHeight="1">
      <c r="A8" s="43">
        <v>4.0</v>
      </c>
      <c r="B8" s="70"/>
      <c r="C8" s="36"/>
      <c r="D8" s="36"/>
      <c r="E8" s="36"/>
      <c r="F8" s="36"/>
      <c r="G8" s="36"/>
      <c r="H8" s="36"/>
      <c r="I8" s="71"/>
      <c r="J8" s="46" t="s">
        <v>95</v>
      </c>
      <c r="K8" s="72"/>
      <c r="L8" s="22"/>
    </row>
    <row r="9" ht="66.0" customHeight="1">
      <c r="A9" s="39">
        <v>5.0</v>
      </c>
      <c r="B9" s="70"/>
      <c r="C9" s="36"/>
      <c r="D9" s="36"/>
      <c r="E9" s="36"/>
      <c r="F9" s="36"/>
      <c r="G9" s="36"/>
      <c r="H9" s="36"/>
      <c r="I9" s="71"/>
      <c r="J9" s="46" t="s">
        <v>95</v>
      </c>
      <c r="K9" s="72"/>
      <c r="L9" s="22"/>
    </row>
    <row r="10" ht="66.0" customHeight="1">
      <c r="A10" s="43">
        <v>6.0</v>
      </c>
      <c r="B10" s="70"/>
      <c r="C10" s="36"/>
      <c r="D10" s="36"/>
      <c r="E10" s="36"/>
      <c r="F10" s="36"/>
      <c r="G10" s="36"/>
      <c r="H10" s="36"/>
      <c r="I10" s="71"/>
      <c r="J10" s="46" t="s">
        <v>95</v>
      </c>
      <c r="K10" s="72"/>
      <c r="L10" s="22"/>
    </row>
    <row r="11" ht="66.0" customHeight="1">
      <c r="A11" s="39">
        <v>7.0</v>
      </c>
      <c r="B11" s="70"/>
      <c r="C11" s="36"/>
      <c r="D11" s="36"/>
      <c r="E11" s="36"/>
      <c r="F11" s="36"/>
      <c r="G11" s="36"/>
      <c r="H11" s="36"/>
      <c r="I11" s="71"/>
      <c r="J11" s="46" t="s">
        <v>95</v>
      </c>
      <c r="K11" s="72"/>
      <c r="L11" s="22"/>
    </row>
    <row r="12" ht="66.0" customHeight="1">
      <c r="A12" s="43">
        <v>8.0</v>
      </c>
      <c r="B12" s="70"/>
      <c r="C12" s="36"/>
      <c r="D12" s="36"/>
      <c r="E12" s="36"/>
      <c r="F12" s="36"/>
      <c r="G12" s="36"/>
      <c r="H12" s="36"/>
      <c r="I12" s="71"/>
      <c r="J12" s="46" t="s">
        <v>95</v>
      </c>
      <c r="K12" s="72"/>
      <c r="L12" s="22"/>
    </row>
    <row r="13" ht="66.0" customHeight="1">
      <c r="A13" s="39">
        <v>9.0</v>
      </c>
      <c r="B13" s="70"/>
      <c r="C13" s="36"/>
      <c r="D13" s="36"/>
      <c r="E13" s="36"/>
      <c r="F13" s="36"/>
      <c r="G13" s="36"/>
      <c r="H13" s="36"/>
      <c r="I13" s="71"/>
      <c r="J13" s="46" t="s">
        <v>95</v>
      </c>
      <c r="K13" s="72"/>
      <c r="L13" s="22"/>
    </row>
    <row r="14" ht="66.0" customHeight="1">
      <c r="A14" s="43">
        <v>10.0</v>
      </c>
      <c r="B14" s="70"/>
      <c r="C14" s="36"/>
      <c r="D14" s="36"/>
      <c r="E14" s="36"/>
      <c r="F14" s="36"/>
      <c r="G14" s="36"/>
      <c r="H14" s="36"/>
      <c r="I14" s="71"/>
      <c r="J14" s="46" t="s">
        <v>95</v>
      </c>
      <c r="K14" s="72"/>
      <c r="L14" s="22"/>
    </row>
    <row r="15" ht="66.0" customHeight="1">
      <c r="A15" s="39">
        <v>11.0</v>
      </c>
      <c r="B15" s="70"/>
      <c r="C15" s="36"/>
      <c r="D15" s="36"/>
      <c r="E15" s="36"/>
      <c r="F15" s="36"/>
      <c r="G15" s="36"/>
      <c r="H15" s="36"/>
      <c r="I15" s="71"/>
      <c r="J15" s="46" t="s">
        <v>95</v>
      </c>
      <c r="K15" s="72"/>
      <c r="L15" s="22"/>
    </row>
    <row r="16" ht="66.0" customHeight="1">
      <c r="A16" s="43">
        <v>12.0</v>
      </c>
      <c r="B16" s="70"/>
      <c r="C16" s="36"/>
      <c r="D16" s="36"/>
      <c r="E16" s="36"/>
      <c r="F16" s="36"/>
      <c r="G16" s="36"/>
      <c r="H16" s="36"/>
      <c r="I16" s="71"/>
      <c r="J16" s="46" t="s">
        <v>95</v>
      </c>
      <c r="K16" s="72"/>
      <c r="L16" s="22"/>
    </row>
    <row r="17" ht="66.0" customHeight="1">
      <c r="A17" s="39">
        <v>13.0</v>
      </c>
      <c r="B17" s="70"/>
      <c r="C17" s="36"/>
      <c r="D17" s="36"/>
      <c r="E17" s="36"/>
      <c r="F17" s="36"/>
      <c r="G17" s="36"/>
      <c r="H17" s="36"/>
      <c r="I17" s="71"/>
      <c r="J17" s="46" t="s">
        <v>95</v>
      </c>
      <c r="K17" s="72"/>
      <c r="L17" s="22"/>
    </row>
    <row r="18" ht="66.0" customHeight="1">
      <c r="A18" s="43">
        <v>14.0</v>
      </c>
      <c r="B18" s="70"/>
      <c r="C18" s="36"/>
      <c r="D18" s="36"/>
      <c r="E18" s="36"/>
      <c r="F18" s="36"/>
      <c r="G18" s="36"/>
      <c r="H18" s="36"/>
      <c r="I18" s="71"/>
      <c r="J18" s="46" t="s">
        <v>95</v>
      </c>
      <c r="K18" s="72"/>
      <c r="L18" s="22"/>
    </row>
    <row r="19" ht="66.0" customHeight="1">
      <c r="A19" s="49">
        <v>15.0</v>
      </c>
      <c r="B19" s="73"/>
      <c r="C19" s="64"/>
      <c r="D19" s="64"/>
      <c r="E19" s="64"/>
      <c r="F19" s="64"/>
      <c r="G19" s="64"/>
      <c r="H19" s="64"/>
      <c r="I19" s="74"/>
      <c r="J19" s="68" t="s">
        <v>95</v>
      </c>
      <c r="K19" s="75"/>
      <c r="L19" s="59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2:L2"/>
    <mergeCell ref="A4:L4"/>
  </mergeCells>
  <conditionalFormatting sqref="J7:J19">
    <cfRule type="containsText" dxfId="0" priority="1" operator="containsText" text="Terverifikasi">
      <formula>NOT(ISERROR(SEARCH(("Terverifikasi"),(J7))))</formula>
    </cfRule>
  </conditionalFormatting>
  <conditionalFormatting sqref="J7:J19">
    <cfRule type="containsText" dxfId="1" priority="2" operator="containsText" text="Perlu revisi">
      <formula>NOT(ISERROR(SEARCH(("Perlu revisi"),(J7))))</formula>
    </cfRule>
  </conditionalFormatting>
  <dataValidations>
    <dataValidation type="list" allowBlank="1" sqref="J7:J19">
      <formula1>"Belum diperiksa,Perlu revisi,Terverifikasi"</formula1>
    </dataValidation>
    <dataValidation type="decimal" allowBlank="1" sqref="K7:K19">
      <formula1>0.0</formula1>
      <formula2>4.0</formula2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>
      <pane xSplit="2.0" ySplit="6.0" topLeftCell="C7" activePane="bottomRight" state="frozen"/>
      <selection activeCell="C1" sqref="C1" pane="topRight"/>
      <selection activeCell="A7" sqref="A7" pane="bottomLeft"/>
      <selection activeCell="C7" sqref="C7" pane="bottomRight"/>
    </sheetView>
  </sheetViews>
  <sheetFormatPr customHeight="1" defaultColWidth="12.63" defaultRowHeight="15.0"/>
  <cols>
    <col customWidth="1" min="1" max="1" width="9.0"/>
    <col customWidth="1" min="2" max="2" width="14.0"/>
    <col customWidth="1" min="3" max="3" width="28.0"/>
    <col customWidth="1" min="4" max="4" width="48.0"/>
    <col customWidth="1" min="5" max="5" width="40.0"/>
    <col customWidth="1" min="6" max="6" width="32.0"/>
    <col customWidth="1" min="7" max="7" width="30.0"/>
    <col customWidth="1" min="8" max="8" width="32.0"/>
    <col customWidth="1" min="9" max="9" width="12.0"/>
    <col customWidth="1" min="10" max="10" width="18.0"/>
    <col customWidth="1" min="11" max="11" width="12.0"/>
    <col customWidth="1" min="12" max="12" width="34.0"/>
    <col customWidth="1" min="13" max="26" width="8.63"/>
  </cols>
  <sheetData>
    <row r="1" ht="27.75" customHeight="1">
      <c r="A1" s="1" t="s">
        <v>186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</row>
    <row r="2" ht="30.0" customHeight="1">
      <c r="A2" s="3" t="s">
        <v>187</v>
      </c>
    </row>
    <row r="3">
      <c r="A3" s="6" t="s">
        <v>173</v>
      </c>
      <c r="B3" s="69" t="str">
        <f>IF(COUNT(K7:K19)=0,"",AVERAGE(K7:K19)*25)</f>
        <v/>
      </c>
      <c r="C3" s="4"/>
      <c r="D3" s="4"/>
      <c r="E3" s="4"/>
      <c r="F3" s="4"/>
      <c r="G3" s="4"/>
      <c r="H3" s="4"/>
      <c r="I3" s="4"/>
      <c r="J3" s="4"/>
      <c r="K3" s="4"/>
      <c r="L3" s="4"/>
    </row>
    <row r="4" ht="30.0" customHeight="1">
      <c r="A4" s="54" t="s">
        <v>175</v>
      </c>
    </row>
    <row r="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</row>
    <row r="6" ht="33.75" customHeight="1">
      <c r="A6" s="7" t="s">
        <v>48</v>
      </c>
      <c r="B6" s="8" t="s">
        <v>177</v>
      </c>
      <c r="C6" s="8" t="s">
        <v>178</v>
      </c>
      <c r="D6" s="8" t="s">
        <v>179</v>
      </c>
      <c r="E6" s="8" t="s">
        <v>180</v>
      </c>
      <c r="F6" s="8" t="s">
        <v>61</v>
      </c>
      <c r="G6" s="8" t="s">
        <v>181</v>
      </c>
      <c r="H6" s="8" t="s">
        <v>182</v>
      </c>
      <c r="I6" s="8" t="s">
        <v>183</v>
      </c>
      <c r="J6" s="8" t="s">
        <v>184</v>
      </c>
      <c r="K6" s="8" t="s">
        <v>185</v>
      </c>
      <c r="L6" s="10" t="s">
        <v>72</v>
      </c>
    </row>
    <row r="7" ht="66.0" customHeight="1">
      <c r="A7" s="39">
        <v>3.0</v>
      </c>
      <c r="B7" s="70"/>
      <c r="C7" s="36"/>
      <c r="D7" s="36"/>
      <c r="E7" s="36"/>
      <c r="F7" s="36"/>
      <c r="G7" s="36"/>
      <c r="H7" s="36"/>
      <c r="I7" s="71"/>
      <c r="J7" s="46" t="s">
        <v>95</v>
      </c>
      <c r="K7" s="72"/>
      <c r="L7" s="22"/>
    </row>
    <row r="8" ht="66.0" customHeight="1">
      <c r="A8" s="43">
        <v>4.0</v>
      </c>
      <c r="B8" s="70"/>
      <c r="C8" s="36"/>
      <c r="D8" s="36"/>
      <c r="E8" s="36"/>
      <c r="F8" s="36"/>
      <c r="G8" s="36"/>
      <c r="H8" s="36"/>
      <c r="I8" s="71"/>
      <c r="J8" s="46" t="s">
        <v>95</v>
      </c>
      <c r="K8" s="72"/>
      <c r="L8" s="22"/>
    </row>
    <row r="9" ht="66.0" customHeight="1">
      <c r="A9" s="39">
        <v>5.0</v>
      </c>
      <c r="B9" s="70"/>
      <c r="C9" s="36"/>
      <c r="D9" s="36"/>
      <c r="E9" s="36"/>
      <c r="F9" s="36"/>
      <c r="G9" s="36"/>
      <c r="H9" s="36"/>
      <c r="I9" s="71"/>
      <c r="J9" s="46" t="s">
        <v>95</v>
      </c>
      <c r="K9" s="72"/>
      <c r="L9" s="22"/>
    </row>
    <row r="10" ht="66.0" customHeight="1">
      <c r="A10" s="43">
        <v>6.0</v>
      </c>
      <c r="B10" s="70"/>
      <c r="C10" s="36"/>
      <c r="D10" s="36"/>
      <c r="E10" s="36"/>
      <c r="F10" s="36"/>
      <c r="G10" s="36"/>
      <c r="H10" s="36"/>
      <c r="I10" s="71"/>
      <c r="J10" s="46" t="s">
        <v>95</v>
      </c>
      <c r="K10" s="72"/>
      <c r="L10" s="22"/>
    </row>
    <row r="11" ht="66.0" customHeight="1">
      <c r="A11" s="39">
        <v>7.0</v>
      </c>
      <c r="B11" s="70"/>
      <c r="C11" s="36"/>
      <c r="D11" s="36"/>
      <c r="E11" s="36"/>
      <c r="F11" s="36"/>
      <c r="G11" s="36"/>
      <c r="H11" s="36"/>
      <c r="I11" s="71"/>
      <c r="J11" s="46" t="s">
        <v>95</v>
      </c>
      <c r="K11" s="72"/>
      <c r="L11" s="22"/>
    </row>
    <row r="12" ht="66.0" customHeight="1">
      <c r="A12" s="43">
        <v>8.0</v>
      </c>
      <c r="B12" s="70"/>
      <c r="C12" s="36"/>
      <c r="D12" s="36"/>
      <c r="E12" s="36"/>
      <c r="F12" s="36"/>
      <c r="G12" s="36"/>
      <c r="H12" s="36"/>
      <c r="I12" s="71"/>
      <c r="J12" s="46" t="s">
        <v>95</v>
      </c>
      <c r="K12" s="72"/>
      <c r="L12" s="22"/>
    </row>
    <row r="13" ht="66.0" customHeight="1">
      <c r="A13" s="39">
        <v>9.0</v>
      </c>
      <c r="B13" s="70"/>
      <c r="C13" s="36"/>
      <c r="D13" s="36"/>
      <c r="E13" s="36"/>
      <c r="F13" s="36"/>
      <c r="G13" s="36"/>
      <c r="H13" s="36"/>
      <c r="I13" s="71"/>
      <c r="J13" s="46" t="s">
        <v>95</v>
      </c>
      <c r="K13" s="72"/>
      <c r="L13" s="22"/>
    </row>
    <row r="14" ht="66.0" customHeight="1">
      <c r="A14" s="43">
        <v>10.0</v>
      </c>
      <c r="B14" s="70"/>
      <c r="C14" s="36"/>
      <c r="D14" s="36"/>
      <c r="E14" s="36"/>
      <c r="F14" s="36"/>
      <c r="G14" s="36"/>
      <c r="H14" s="36"/>
      <c r="I14" s="71"/>
      <c r="J14" s="46" t="s">
        <v>95</v>
      </c>
      <c r="K14" s="72"/>
      <c r="L14" s="22"/>
    </row>
    <row r="15" ht="66.0" customHeight="1">
      <c r="A15" s="39">
        <v>11.0</v>
      </c>
      <c r="B15" s="70"/>
      <c r="C15" s="36"/>
      <c r="D15" s="36"/>
      <c r="E15" s="36"/>
      <c r="F15" s="36"/>
      <c r="G15" s="36"/>
      <c r="H15" s="36"/>
      <c r="I15" s="71"/>
      <c r="J15" s="46" t="s">
        <v>95</v>
      </c>
      <c r="K15" s="72"/>
      <c r="L15" s="22"/>
    </row>
    <row r="16" ht="66.0" customHeight="1">
      <c r="A16" s="43">
        <v>12.0</v>
      </c>
      <c r="B16" s="70"/>
      <c r="C16" s="36"/>
      <c r="D16" s="36"/>
      <c r="E16" s="36"/>
      <c r="F16" s="36"/>
      <c r="G16" s="36"/>
      <c r="H16" s="36"/>
      <c r="I16" s="71"/>
      <c r="J16" s="46" t="s">
        <v>95</v>
      </c>
      <c r="K16" s="72"/>
      <c r="L16" s="22"/>
    </row>
    <row r="17" ht="66.0" customHeight="1">
      <c r="A17" s="39">
        <v>13.0</v>
      </c>
      <c r="B17" s="70"/>
      <c r="C17" s="36"/>
      <c r="D17" s="36"/>
      <c r="E17" s="36"/>
      <c r="F17" s="36"/>
      <c r="G17" s="36"/>
      <c r="H17" s="36"/>
      <c r="I17" s="71"/>
      <c r="J17" s="46" t="s">
        <v>95</v>
      </c>
      <c r="K17" s="72"/>
      <c r="L17" s="22"/>
    </row>
    <row r="18" ht="66.0" customHeight="1">
      <c r="A18" s="43">
        <v>14.0</v>
      </c>
      <c r="B18" s="70"/>
      <c r="C18" s="36"/>
      <c r="D18" s="36"/>
      <c r="E18" s="36"/>
      <c r="F18" s="36"/>
      <c r="G18" s="36"/>
      <c r="H18" s="36"/>
      <c r="I18" s="71"/>
      <c r="J18" s="46" t="s">
        <v>95</v>
      </c>
      <c r="K18" s="72"/>
      <c r="L18" s="22"/>
    </row>
    <row r="19" ht="66.0" customHeight="1">
      <c r="A19" s="49">
        <v>15.0</v>
      </c>
      <c r="B19" s="73"/>
      <c r="C19" s="64"/>
      <c r="D19" s="64"/>
      <c r="E19" s="64"/>
      <c r="F19" s="64"/>
      <c r="G19" s="64"/>
      <c r="H19" s="64"/>
      <c r="I19" s="74"/>
      <c r="J19" s="68" t="s">
        <v>95</v>
      </c>
      <c r="K19" s="75"/>
      <c r="L19" s="59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2:L2"/>
    <mergeCell ref="A4:L4"/>
  </mergeCells>
  <conditionalFormatting sqref="J7:J19">
    <cfRule type="containsText" dxfId="0" priority="1" operator="containsText" text="Terverifikasi">
      <formula>NOT(ISERROR(SEARCH(("Terverifikasi"),(J7))))</formula>
    </cfRule>
  </conditionalFormatting>
  <conditionalFormatting sqref="J7:J19">
    <cfRule type="containsText" dxfId="1" priority="2" operator="containsText" text="Perlu revisi">
      <formula>NOT(ISERROR(SEARCH(("Perlu revisi"),(J7))))</formula>
    </cfRule>
  </conditionalFormatting>
  <dataValidations>
    <dataValidation type="list" allowBlank="1" sqref="J7:J19">
      <formula1>"Belum diperiksa,Perlu revisi,Terverifikasi"</formula1>
    </dataValidation>
    <dataValidation type="decimal" allowBlank="1" sqref="K7:K19">
      <formula1>0.0</formula1>
      <formula2>4.0</formula2>
    </dataValidation>
  </dataValidations>
  <printOptions/>
  <pageMargins bottom="0.75" footer="0.0" header="0.0" left="0.7" right="0.7" top="0.75"/>
  <pageSetup orientation="landscape"/>
  <drawing r:id="rId1"/>
</worksheet>
</file>